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hrkj\Documents\Uddannelse\Compliance\Portefølje\Vendor Review\"/>
    </mc:Choice>
  </mc:AlternateContent>
  <xr:revisionPtr revIDLastSave="0" documentId="13_ncr:1_{29DDC82B-5C5D-46BD-A869-90C85802739A}" xr6:coauthVersionLast="47" xr6:coauthVersionMax="47" xr10:uidLastSave="{00000000-0000-0000-0000-000000000000}"/>
  <bookViews>
    <workbookView xWindow="-120" yWindow="-120" windowWidth="29040" windowHeight="15720" xr2:uid="{00000000-000D-0000-FFFF-FFFF00000000}"/>
  </bookViews>
  <sheets>
    <sheet name="Overview" sheetId="1" r:id="rId1"/>
    <sheet name="Version History" sheetId="2" r:id="rId2"/>
    <sheet name="Questionnaire" sheetId="3" r:id="rId3"/>
    <sheet name="Evidence Register" sheetId="6" r:id="rId4"/>
    <sheet name="Scoring" sheetId="4" r:id="rId5"/>
    <sheet name="Vendor Summary"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 i="3" l="1"/>
  <c r="B3" i="5"/>
  <c r="G3" i="5"/>
  <c r="D3" i="5"/>
  <c r="F23" i="3"/>
  <c r="F22" i="3"/>
  <c r="F21" i="3"/>
  <c r="F20" i="3"/>
  <c r="F19" i="3"/>
  <c r="F18" i="3"/>
  <c r="F17" i="3"/>
  <c r="F16" i="3"/>
  <c r="F15" i="3"/>
  <c r="F14" i="3"/>
  <c r="F13" i="3"/>
  <c r="F12" i="3"/>
  <c r="F11" i="3"/>
  <c r="F10" i="3"/>
  <c r="F9" i="3"/>
  <c r="F8" i="3"/>
  <c r="F7" i="3"/>
  <c r="F6" i="3"/>
  <c r="F5" i="3"/>
  <c r="B9" i="4" a="1"/>
  <c r="B9" i="4" s="1"/>
  <c r="B8" i="4" a="1"/>
  <c r="B8" i="4" s="1"/>
  <c r="A28" i="6"/>
  <c r="A17" i="6"/>
  <c r="A18" i="6"/>
  <c r="A19" i="6"/>
  <c r="A20" i="6"/>
  <c r="A21" i="6"/>
  <c r="A22" i="6"/>
  <c r="A23" i="6"/>
  <c r="A24" i="6"/>
  <c r="A25" i="6"/>
  <c r="A26" i="6"/>
  <c r="A27" i="6"/>
  <c r="A11" i="6"/>
  <c r="A12" i="6"/>
  <c r="A13" i="6"/>
  <c r="A14" i="6"/>
  <c r="A15" i="6"/>
  <c r="A16" i="6"/>
  <c r="A6" i="6"/>
  <c r="A7" i="6"/>
  <c r="A8" i="6"/>
  <c r="A9" i="6"/>
  <c r="A10" i="6"/>
  <c r="A5" i="6"/>
  <c r="B10" i="4" l="1"/>
  <c r="B11" i="4" l="1"/>
  <c r="F3" i="5" s="1"/>
  <c r="E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<sst xmlns="http://schemas.openxmlformats.org/spreadsheetml/2006/main" count="231" uniqueCount="192">
  <si>
    <t>DOCUMENT CONTROL</t>
  </si>
  <si>
    <t>Organization Name:</t>
  </si>
  <si>
    <t>Department / Team:</t>
  </si>
  <si>
    <t>Document Owner:</t>
  </si>
  <si>
    <t>Author / Prepared By:</t>
  </si>
  <si>
    <t>Version:</t>
  </si>
  <si>
    <t>1.0</t>
  </si>
  <si>
    <t>Status:</t>
  </si>
  <si>
    <t>Date Created:</t>
  </si>
  <si>
    <t>Last Reviewed:</t>
  </si>
  <si>
    <t>Next Review Date:</t>
  </si>
  <si>
    <t>Classification:</t>
  </si>
  <si>
    <t>Distribution:</t>
  </si>
  <si>
    <t>VERSION HISTORY</t>
  </si>
  <si>
    <t>Version</t>
  </si>
  <si>
    <t>Date</t>
  </si>
  <si>
    <t>Description of Changes</t>
  </si>
  <si>
    <t>Changed By</t>
  </si>
  <si>
    <t>Reviewed By</t>
  </si>
  <si>
    <t>Approved By</t>
  </si>
  <si>
    <t>Initial release</t>
  </si>
  <si>
    <t>#</t>
  </si>
  <si>
    <t>Domain</t>
  </si>
  <si>
    <t>Question</t>
  </si>
  <si>
    <t>Governance</t>
  </si>
  <si>
    <t>Business Continuity</t>
  </si>
  <si>
    <t>Third-Party Risk</t>
  </si>
  <si>
    <t>Vendor Name:</t>
  </si>
  <si>
    <t>Assessment Date:</t>
  </si>
  <si>
    <t>Assessor:</t>
  </si>
  <si>
    <t>Total Possible Score:</t>
  </si>
  <si>
    <t>Score Achieved:</t>
  </si>
  <si>
    <t>Score %:</t>
  </si>
  <si>
    <t>Score Range</t>
  </si>
  <si>
    <t>Action</t>
  </si>
  <si>
    <t>≥ 90%</t>
  </si>
  <si>
    <t>75–89%</t>
  </si>
  <si>
    <t>Vendor Name</t>
  </si>
  <si>
    <t>Category</t>
  </si>
  <si>
    <t>Assessment Date</t>
  </si>
  <si>
    <t>Next Review</t>
  </si>
  <si>
    <t>Cloud Infrastructure</t>
  </si>
  <si>
    <t>Third-Party Security · Privacy · AI Governance</t>
  </si>
  <si>
    <t>Veltrixa ApS</t>
  </si>
  <si>
    <t>Information Security &amp; Compliance</t>
  </si>
  <si>
    <t>Information Security Manager</t>
  </si>
  <si>
    <t>Does the vendor maintain a documented Information Security Management System (ISMS)?</t>
  </si>
  <si>
    <t>AWS maintains a documented ISMS certified to ISO/IEC 27001.</t>
  </si>
  <si>
    <t>Has the vendor assigned formal responsibility for information security (e.g. Chief Information Security Officer or equivalent)?</t>
  </si>
  <si>
    <t>AWS has assigned formal responsibility for information security, including a designated Chief Information Security Officer (CISO).</t>
  </si>
  <si>
    <t>Does the vendor undergo regular independent security audits or certification assessments?</t>
  </si>
  <si>
    <t>Does the vendor maintain a formal information security risk management process?</t>
  </si>
  <si>
    <t>Information Security</t>
  </si>
  <si>
    <t>Does the vendor support encryption of customer data at rest using industry-recognised encryption standards?</t>
  </si>
  <si>
    <t>Are systems continuously monitored for security events and suspicious activity?</t>
  </si>
  <si>
    <t xml:space="preserve">Privacy &amp; Data Protection </t>
  </si>
  <si>
    <t>Does the vendor provide a Data Processing Addendum (DPA) supporting GDPR compliance?</t>
  </si>
  <si>
    <t>Does the vendor provide information about the locations where customer data is processed and stored?</t>
  </si>
  <si>
    <t>Does the vendor support customers in fulfilling data subject rights requests?</t>
  </si>
  <si>
    <t>AWS provides capabilities and documentation to support customers in fulfilling data subject rights requests under applicable data protection laws, including the GDPR.</t>
  </si>
  <si>
    <t>AWS – Data Processing Addendum (DPA), Section 7 – AWS Assistance with Data Subject Requests</t>
  </si>
  <si>
    <t xml:space="preserve">Identity &amp; Access Management </t>
  </si>
  <si>
    <t xml:space="preserve">Incident Management </t>
  </si>
  <si>
    <t>Does the vendor maintain a documented incident response plan?</t>
  </si>
  <si>
    <t>AWS Data Processing Addendum (DPA), Section 9 – Security Incident Notification</t>
  </si>
  <si>
    <t>Does the vendor maintain documented business continuity and disaster recovery plans?</t>
  </si>
  <si>
    <t>Does the vendor define recovery time objectives (RTO) and recovery point objectives (RPO) for critical services?</t>
  </si>
  <si>
    <t xml:space="preserve">Compliance &amp; Assurance </t>
  </si>
  <si>
    <t>Does the vendor maintain a formal process for assessing and managing risks associated with its own third-party suppliers?</t>
  </si>
  <si>
    <t>AI Governance &amp; Model Security</t>
  </si>
  <si>
    <t>Does the vendor implement secure vulnerability management and timely security patching?</t>
  </si>
  <si>
    <t>E-001:</t>
  </si>
  <si>
    <t>Christian Vinther</t>
  </si>
  <si>
    <t>Data Center Controls (Business Continuity Plan)</t>
  </si>
  <si>
    <t xml:space="preserve">SOC Compliance FAQ </t>
  </si>
  <si>
    <t>AWS Compliance Programs</t>
  </si>
  <si>
    <t>AWS risk and compliance program</t>
  </si>
  <si>
    <t>AWS Whitepaper - Encrypt Data at Rest</t>
  </si>
  <si>
    <t>Framework – SEC09-BP02 Enforce encryption in transit</t>
  </si>
  <si>
    <t>AWS Data Processing Addendum (DPA)</t>
  </si>
  <si>
    <t>ISO 22301:2019 Compliance</t>
  </si>
  <si>
    <t>SOC Compliance FAQ</t>
  </si>
  <si>
    <t>ISO/IEC 27001:2022</t>
  </si>
  <si>
    <t>Amazon Web Services (AWS)</t>
  </si>
  <si>
    <t>Portfolio Disclaimer:</t>
  </si>
  <si>
    <t>This Vendor Security Assessment has been developed solely for portfolio and educational purposes to demonstrate my understanding of third-party risk management (TPRM), vendor security assessments, and evidence-based security reviews.
Amazon Web Services (AWS) has been selected as a representative example of a critical cloud service provider. The assessment is based exclusively on publicly available documentation and should not be interpreted as an official or complete security assessment of AWS.
In a real-world vendor assessment, a critical supplier such as AWS would typically be evaluated using a substantially more comprehensive questionnaire, supplemented by confidential evidence (e.g. SOC reports, AWS Artifact documentation, customer agreements, and direct responses from the vendor). For this portfolio project, I have intentionally selected a limited set of representative questions across key domains—including Governance, Information Security, Privacy, Identity &amp; Access Management, Business Continuity, Third-Party Risk, and AI Governance—to develop and demonstrate practical assessment skills.</t>
  </si>
  <si>
    <t>Vendor Security Assessment (AWS)</t>
  </si>
  <si>
    <t>Evidence Score</t>
  </si>
  <si>
    <t>CONTROL ASSURANCE SCORE</t>
  </si>
  <si>
    <t>Assurance Rating:</t>
  </si>
  <si>
    <t>Assurance Level</t>
  </si>
  <si>
    <t>Strong Assurance</t>
  </si>
  <si>
    <t>Moderate Assurance</t>
  </si>
  <si>
    <t>Limited Assurance</t>
  </si>
  <si>
    <t>Insufficient Assurance</t>
  </si>
  <si>
    <t>60–74%</t>
  </si>
  <si>
    <t>&lt; 60%</t>
  </si>
  <si>
    <t>Reviewer Assessment Note</t>
  </si>
  <si>
    <t>Reviewer Outcome</t>
  </si>
  <si>
    <t>Verified</t>
  </si>
  <si>
    <t>Partially Verified</t>
  </si>
  <si>
    <t>Follow-up Required?</t>
  </si>
  <si>
    <t>Evidence Reference(s)</t>
  </si>
  <si>
    <t>Public evidence confirms that AWS maintains an ISO 22301-certified Business Continuity Management System. However, it does not explicitly verify documented RTO and RPO for the critical AWS services within scope. Additional scope-relevant evidence is required.</t>
  </si>
  <si>
    <t>Assurance Rating</t>
  </si>
  <si>
    <t>EVIDENCE SCORE DEFINITIONS</t>
  </si>
  <si>
    <t>Verified — direct, current, and scope-relevant evidence.</t>
  </si>
  <si>
    <t>Partially Verified — relevant evidence exists, but important scope or detail is missing.</t>
  </si>
  <si>
    <t>Not Verified — evidence is weak, indirect, outdated, or insufficient.</t>
  </si>
  <si>
    <t>Control Gap — evidence shows that the control is absent or not met.</t>
  </si>
  <si>
    <t>N/A</t>
  </si>
  <si>
    <t>Not Applicable — excluded from scoring only when justified.</t>
  </si>
  <si>
    <t>Complete the reviewer assessment using public evidence. Select a Reviewer Outcome, record evidence references, and assign an Evidence Score (0–3). Results are calculated in the Scoring tab.</t>
  </si>
  <si>
    <t>Assessment Method:</t>
  </si>
  <si>
    <t>Public-source desktop review — vendor did not participate or attest to the responses.</t>
  </si>
  <si>
    <t>Not formally reviewed</t>
  </si>
  <si>
    <t>Recommended Decision</t>
  </si>
  <si>
    <t>Control Assurance Score %</t>
  </si>
  <si>
    <t>Record each public source used in the assessment and reference its Evidence ID in the Questionnaire.</t>
  </si>
  <si>
    <t>Veltrixa Cloud
Public-Source Vendor Security Assessment</t>
  </si>
  <si>
    <t>Portfolio Sample</t>
  </si>
  <si>
    <t>Public — Portfolio Sample</t>
  </si>
  <si>
    <t>Additional evidence or enhanced monitoring required</t>
  </si>
  <si>
    <t>Remediation or compensating controls required before approval</t>
  </si>
  <si>
    <t>Do not approve without remediation and formal risk acceptance</t>
  </si>
  <si>
    <t>SCORING LIMITATION</t>
  </si>
  <si>
    <t>The Control Assurance Score reflects evidence strength and does not by itself represent inherent or residual vendor risk.</t>
  </si>
  <si>
    <t>PUBLIC-SOURCE EVIDENCE REGISTER</t>
  </si>
  <si>
    <t>Public Evidence Source</t>
  </si>
  <si>
    <t>Evidence ID</t>
  </si>
  <si>
    <t>Conditional Approval: Confirm service-specific RTO/RPO requirements and supporting evidence.</t>
  </si>
  <si>
    <t>This assessment reviews AWS as a cloud infrastructure provider based on publicly available security and assurance evidence. It does not assess customer-specific AWS configurations or replace service-specific security reviews under the shared responsibility model.</t>
  </si>
  <si>
    <t>Assessment scope:</t>
  </si>
  <si>
    <t>Eligible for approval, subject to any required follow-up</t>
  </si>
  <si>
    <t>VENDOR ASSESSMENT SUMMARY</t>
  </si>
  <si>
    <t>Public — Portfolio demonstration purposes</t>
  </si>
  <si>
    <t>E-003: How AWS is simplifying security at scale: Four keys to faster innovation from AWS re:Inforce 2025</t>
  </si>
  <si>
    <t>How AWS is simplifying security at scale: Four keys to faster innovation from AWS re:Inforce 2025</t>
  </si>
  <si>
    <t>AWS undergoes regular independent third-party audits and certification assessments, including SOC examinations and ISO certification audits.</t>
  </si>
  <si>
    <t>AWS maintains a formal risk management program that includes risk assessment, ongoing monitoring, remediation, escalation, and management oversight.</t>
  </si>
  <si>
    <t>AWS supports encryption of customer data at rest across services using industry-recognised encryption mechanisms, including AES-256 encryption where applicable.</t>
  </si>
  <si>
    <t>E-007: Encrypt Data at Rest – Navigating GDPR Compliance on AWS</t>
  </si>
  <si>
    <t>Does the vendor support encryption of customer data in transit using secure communication protocols?</t>
  </si>
  <si>
    <t>AWS supports encryption of customer data in transit through HTTPS endpoints using TLS and provides mechanisms for customers to enforce encryption in transit across AWS services.</t>
  </si>
  <si>
    <t>E-008: SEC09-BP02 Enforce encryption in transit</t>
  </si>
  <si>
    <t xml:space="preserve">E-009: Vulnerability Management on AWS
</t>
  </si>
  <si>
    <t>AWS operates a vulnerability management programme that continuously identifies, assesses, prioritises, and remediates vulnerabilities across its infrastructure, including risk-based security patching.</t>
  </si>
  <si>
    <t>Vulnerability Management on AWS</t>
  </si>
  <si>
    <t>AWS centrally logs and continuously monitors administrative activity across its systems, including real-time monitoring for unusual or suspicious activity and escalation to the AWS Security organisation.</t>
  </si>
  <si>
    <t>E-010: Operator Access on AWS</t>
  </si>
  <si>
    <t>Operator Access on AWS</t>
  </si>
  <si>
    <t>AWS provides a Data Processing Addendum (DPA), incorporated into the AWS Service Terms, which applies automatically to customers processing personal data and supports compliance with GDPR contractual requirements.</t>
  </si>
  <si>
    <t>E-011: AWS Data Processing Addendum (DPA)</t>
  </si>
  <si>
    <t>AWS provides information about the geographic locations in which customer data is stored and processed and allows customers to select AWS Regions for their workloads. AWS states that customer data generally remains within the selected Region, subject to documented service-specific and legal exceptions.</t>
  </si>
  <si>
    <t>E-012: In detail – Navigating GDPR Compliance on AWS</t>
  </si>
  <si>
    <t>In detail – Navigating GDPR Compliance on AWS</t>
  </si>
  <si>
    <t>E-013: AWS – Data Processing Addendum (DPA), Section 7 – AWS Assistance with Data Subject Requests</t>
  </si>
  <si>
    <t>Does the vendor support multi-factor authentication (MFA) for privileged and administrative access to customer AWS accounts?</t>
  </si>
  <si>
    <t>AWS supports MFA for privileged and administrative access to customer AWS accounts through IAM and IAM Identity Center, and recommends requiring MFA for human users.</t>
  </si>
  <si>
    <t>E-014: Security Best Practices in IAM</t>
  </si>
  <si>
    <t>Security Best Practices in IAM</t>
  </si>
  <si>
    <t>Does the vendor support role-based and least-privilege access controls for customer AWS environments?</t>
  </si>
  <si>
    <t>AWS supports role-based and least-privilege access controls through IAM, allowing customers to assign permissions to roles and identities and restrict access to the permissions required for specific tasks.</t>
  </si>
  <si>
    <t>E-015: Security Best Practices in IAM</t>
  </si>
  <si>
    <t>AWS maintains documented incident response procedures, including defined responsibilities, escalation processes, and established processes for responding to security incidents.</t>
  </si>
  <si>
    <t>Does the vendor define customer notification procedures for security incidents affecting customer data?</t>
  </si>
  <si>
    <t>AWS commits to notifying customers without undue delay after becoming aware of a Security Incident and provides available information to support the customer's incident notification obligations.</t>
  </si>
  <si>
    <t>E-017: AWS Data Processing Addendum (DPA), Section 9 – Security Incident Notification</t>
  </si>
  <si>
    <t xml:space="preserve">E-020: AWS Trust Center – Data Center Controls (Business Continuity Plan)
E-021: AWS ISO 22301:2019 Compliance FAQ
</t>
  </si>
  <si>
    <t>Does the vendor maintain current independent security certifications and assurance reports relevant to the services provided (e.g. ISO/IEC 27001 certification and SOC 2 reports)?</t>
  </si>
  <si>
    <t>AWS maintains current independent security certifications and assurance reports relevant to the services provided, including ISO/IEC 27001:2022 certification and SOC 1, SOC 2 and SOC 3 reports.</t>
  </si>
  <si>
    <t>E-022: ISO/IEC 27001 Compliance
E-023: SOC Compliance</t>
  </si>
  <si>
    <t>AWS documents formal third-party risk management practices, including periodic review of risk factors associated with supply-chain organisations, policies and standards governing third-party risk, and processes for periodic security assessments of supply-chain organisations.</t>
  </si>
  <si>
    <t>Does the vendor prevent customer data from being used to train or improve vendor-managed AI models without customer authorization?</t>
  </si>
  <si>
    <t>AWS states that customer prompts and model outputs are not used to train underlying Amazon foundation models unless the customer consents. Data provided by customers to customize a private version of an Amazon foundation model is not used to train the original underlying model.</t>
  </si>
  <si>
    <t>E-025: Amazon Model Training &amp; Privacy</t>
  </si>
  <si>
    <t>AWS CSA Consensus Assessments Initiative Questionnaire (CAIQ), BCR-05.1 and BCR-09.1</t>
  </si>
  <si>
    <t>E-001: AWS Compliance Programs
E-002: ISO/IEC 27001:2022 Compliance</t>
  </si>
  <si>
    <t>E-004: SOC Compliance FAQ 
E-005: AWS Compliance Programs</t>
  </si>
  <si>
    <t>E-006: AWS Risk and Compliance Program</t>
  </si>
  <si>
    <t>ISO/IEC 27001:2022 Compliance</t>
  </si>
  <si>
    <t>E-016: MPA &amp; Studio Security</t>
  </si>
  <si>
    <t>MPA &amp; Studio Security</t>
  </si>
  <si>
    <t>AWS maintains a documented Business Continuity Plan and operates a Business Continuity Management System (BCMS) certified to ISO 22301:2019.</t>
  </si>
  <si>
    <t>AWS CSA Consensus Assessments Initiative Questionnaire (CAIQ), STA-08.1, STA-12.1 and STA-14.1</t>
  </si>
  <si>
    <t>Amazon Model Training &amp; Privacy</t>
  </si>
  <si>
    <t>1.1</t>
  </si>
  <si>
    <t>Final QA review; evidence references and minor wording/formatting issues corrected.</t>
  </si>
  <si>
    <t>Self-reviewed / public-source validation</t>
  </si>
  <si>
    <t>Not formally approved</t>
  </si>
  <si>
    <t>E-018: AWS CSA Consensus Assessments Initiative Questionnaire (CAIQ), Jan 2025 – BCR-05.1 and BCR-09.1
E-019: AWS ISO 22301:2019 FAQ</t>
  </si>
  <si>
    <t>E-024: AWS CSA Consensus Assessments Initiative Questionnaire (CAIQ), Jan 2025 – STA-08.1, STA-12.1 and STA-14.1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</si>
</sst>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scheme val="minor"/>
    </font>
    <font>
      <sz val="11"/>
      <color theme="1"/>
      <name val="Calibri"/>
      <family val="2"/>
      <scheme val="minor"/>
    </font>
    <font>
      <sz val="11"/>
      <name val="Calibri"/>
    </font>
    <font>
      <i/>
      <sz val="13"/>
      <color rgb="FFFFFFFF"/>
      <name val="Arial"/>
    </font>
    <font>
      <b/>
      <sz val="11"/>
      <color rgb="FFFFFFFF"/>
      <name val="Arial"/>
    </font>
    <font>
      <b/>
      <sz val="10"/>
      <color rgb="FF000000"/>
      <name val="Arial"/>
    </font>
    <font>
      <sz val="10"/>
      <color rgb="FF000000"/>
      <name val="Arial"/>
    </font>
    <font>
      <i/>
      <sz val="10"/>
      <color rgb="FF000000"/>
      <name val="Arial"/>
    </font>
    <font>
      <b/>
      <sz val="12"/>
      <color rgb="FFFFFFFF"/>
      <name val="Arial"/>
    </font>
    <font>
      <b/>
      <sz val="13"/>
      <color rgb="FFFFFFFF"/>
      <name val="Arial"/>
    </font>
    <font>
      <b/>
      <sz val="14"/>
      <color rgb="FFFFFFFF"/>
      <name val="Arial"/>
    </font>
    <font>
      <u/>
      <sz val="11"/>
      <color theme="10"/>
      <name val="Calibri"/>
      <scheme val="minor"/>
    </font>
    <font>
      <i/>
      <sz val="10"/>
      <color rgb="FF555555"/>
      <name val="Arial"/>
      <family val="2"/>
    </font>
    <font>
      <sz val="10"/>
      <color rgb="FF000000"/>
      <name val="Arial"/>
      <family val="2"/>
    </font>
    <font>
      <b/>
      <sz val="10"/>
      <color rgb="FF000000"/>
      <name val="Arial"/>
      <family val="2"/>
    </font>
    <font>
      <i/>
      <sz val="10"/>
      <color theme="1"/>
      <name val="Arial"/>
      <family val="2"/>
    </font>
    <font>
      <b/>
      <sz val="11"/>
      <color rgb="FFFFFFFF"/>
      <name val="Arial"/>
      <family val="2"/>
    </font>
    <font>
      <b/>
      <sz val="11"/>
      <color theme="1"/>
      <name val="Calibri"/>
      <family val="2"/>
      <scheme val="minor"/>
    </font>
    <font>
      <i/>
      <sz val="10"/>
      <color rgb="FF000000"/>
      <name val="Arial"/>
      <family val="2"/>
    </font>
    <font>
      <b/>
      <sz val="24"/>
      <color rgb="FFFFFFFF"/>
      <name val="Arial"/>
      <family val="2"/>
    </font>
    <font>
      <b/>
      <sz val="13"/>
      <color rgb="FFFFFFFF"/>
      <name val="Arial"/>
      <family val="2"/>
    </font>
  </fonts>
  <fills count="18">
    <fill>
      <patternFill patternType="none"/>
    </fill>
    <fill>
      <patternFill patternType="gray125"/>
    </fill>
    <fill>
      <patternFill patternType="solid">
        <fgColor rgb="FF1F3864"/>
        <bgColor rgb="FF1F3864"/>
      </patternFill>
    </fill>
    <fill>
      <patternFill patternType="solid">
        <fgColor rgb="FF2F5597"/>
        <bgColor rgb="FF2F5597"/>
      </patternFill>
    </fill>
    <fill>
      <patternFill patternType="solid">
        <fgColor rgb="FFD9E1F2"/>
        <bgColor rgb="FFD9E1F2"/>
      </patternFill>
    </fill>
    <fill>
      <patternFill patternType="solid">
        <fgColor rgb="FFFFFFFF"/>
        <bgColor rgb="FFFFFFFF"/>
      </patternFill>
    </fill>
    <fill>
      <patternFill patternType="solid">
        <fgColor rgb="FFE2EFDA"/>
        <bgColor rgb="FFE2EFDA"/>
      </patternFill>
    </fill>
    <fill>
      <patternFill patternType="solid">
        <fgColor rgb="FFFFEB9C"/>
        <bgColor rgb="FFFFEB9C"/>
      </patternFill>
    </fill>
    <fill>
      <patternFill patternType="solid">
        <fgColor rgb="FFFCE4D6"/>
        <bgColor rgb="FFFCE4D6"/>
      </patternFill>
    </fill>
    <fill>
      <patternFill patternType="solid">
        <fgColor rgb="FFFFC7CE"/>
        <bgColor rgb="FFFFC7CE"/>
      </patternFill>
    </fill>
    <fill>
      <patternFill patternType="solid">
        <fgColor theme="0"/>
        <bgColor rgb="FFD9E1F2"/>
      </patternFill>
    </fill>
    <fill>
      <patternFill patternType="solid">
        <fgColor theme="4" tint="0.79998168889431442"/>
        <bgColor theme="4" tint="0.79998168889431442"/>
      </patternFill>
    </fill>
    <fill>
      <patternFill patternType="solid">
        <fgColor theme="4" tint="0.79998168889431442"/>
        <bgColor rgb="FFD9E1F2"/>
      </patternFill>
    </fill>
    <fill>
      <patternFill patternType="solid">
        <fgColor theme="4" tint="0.79998168889431442"/>
        <bgColor rgb="FFFFFFFF"/>
      </patternFill>
    </fill>
    <fill>
      <patternFill patternType="solid">
        <fgColor theme="0"/>
        <bgColor rgb="FFFFFFFF"/>
      </patternFill>
    </fill>
    <fill>
      <patternFill patternType="solid">
        <fgColor theme="4" tint="0.79998168889431442"/>
        <bgColor indexed="64"/>
      </patternFill>
    </fill>
    <fill>
      <patternFill patternType="solid">
        <fgColor theme="0"/>
        <bgColor rgb="FF2F5597"/>
      </patternFill>
    </fill>
    <fill>
      <patternFill patternType="solid">
        <fgColor theme="0"/>
        <bgColor indexed="64"/>
      </patternFill>
    </fill>
  </fills>
  <borders count="9">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s>
  <cellStyleXfs count="2">
    <xf numFmtId="0" fontId="0" fillId="0" borderId="0"/>
    <xf numFmtId="0" fontId="11" fillId="0" borderId="0" applyNumberFormat="0" applyFill="0" applyBorder="0" applyAlignment="0" applyProtection="0"/>
  </cellStyleXfs>
  <cellXfs count="89">
    <xf numFmtId="0" fontId="0" fillId="0" borderId="0" xfId="0" applyFont="1" applyAlignment="1"/>
    <xf numFmtId="0" fontId="5" fillId="4" borderId="7" xfId="0" applyFont="1" applyFill="1" applyBorder="1" applyAlignment="1">
      <alignment horizontal="left" vertical="center"/>
    </xf>
    <xf numFmtId="0" fontId="4" fillId="3" borderId="7"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7" xfId="0" applyFont="1" applyFill="1" applyBorder="1" applyAlignment="1">
      <alignment horizontal="left" vertical="center"/>
    </xf>
    <xf numFmtId="0" fontId="6" fillId="5" borderId="7" xfId="0" applyFont="1" applyFill="1" applyBorder="1" applyAlignment="1">
      <alignment horizontal="center" vertical="center"/>
    </xf>
    <xf numFmtId="0" fontId="6" fillId="5" borderId="7" xfId="0" applyFont="1" applyFill="1" applyBorder="1" applyAlignment="1">
      <alignment horizontal="left" vertical="center"/>
    </xf>
    <xf numFmtId="0" fontId="5" fillId="5" borderId="7" xfId="0" applyFont="1" applyFill="1" applyBorder="1" applyAlignment="1">
      <alignment horizontal="left" vertical="center"/>
    </xf>
    <xf numFmtId="0" fontId="6" fillId="4" borderId="7" xfId="0" applyFont="1" applyFill="1" applyBorder="1" applyAlignment="1">
      <alignment horizontal="left" vertical="center" wrapText="1"/>
    </xf>
    <xf numFmtId="0" fontId="6" fillId="5" borderId="7" xfId="0" applyFont="1" applyFill="1" applyBorder="1" applyAlignment="1">
      <alignment horizontal="left" vertical="center" wrapText="1"/>
    </xf>
    <xf numFmtId="0" fontId="5" fillId="4" borderId="8" xfId="0" applyFont="1" applyFill="1" applyBorder="1" applyAlignment="1">
      <alignment horizontal="left" vertical="center"/>
    </xf>
    <xf numFmtId="0" fontId="6" fillId="5" borderId="8" xfId="0" applyFont="1" applyFill="1" applyBorder="1" applyAlignment="1">
      <alignment horizontal="center" vertical="center"/>
    </xf>
    <xf numFmtId="0" fontId="5" fillId="5" borderId="8" xfId="0" applyFont="1" applyFill="1" applyBorder="1" applyAlignment="1">
      <alignment horizontal="center" vertical="center"/>
    </xf>
    <xf numFmtId="0" fontId="4" fillId="3" borderId="8" xfId="0" applyFont="1" applyFill="1" applyBorder="1" applyAlignment="1">
      <alignment horizontal="center" vertical="center"/>
    </xf>
    <xf numFmtId="0" fontId="6" fillId="6" borderId="8" xfId="0" applyFont="1" applyFill="1" applyBorder="1" applyAlignment="1">
      <alignment horizontal="center" vertical="center"/>
    </xf>
    <xf numFmtId="0" fontId="6" fillId="7" borderId="8" xfId="0" applyFont="1" applyFill="1" applyBorder="1" applyAlignment="1">
      <alignment horizontal="center" vertical="center"/>
    </xf>
    <xf numFmtId="0" fontId="6" fillId="8" borderId="8" xfId="0" applyFont="1" applyFill="1" applyBorder="1" applyAlignment="1">
      <alignment horizontal="center" vertical="center"/>
    </xf>
    <xf numFmtId="0" fontId="6" fillId="9" borderId="8" xfId="0" applyFont="1" applyFill="1" applyBorder="1" applyAlignment="1">
      <alignment horizontal="center" vertical="center"/>
    </xf>
    <xf numFmtId="14" fontId="6" fillId="4" borderId="7" xfId="0" applyNumberFormat="1" applyFont="1" applyFill="1" applyBorder="1" applyAlignment="1">
      <alignment horizontal="center" vertical="center"/>
    </xf>
    <xf numFmtId="0" fontId="6" fillId="5" borderId="7" xfId="0" applyFont="1" applyFill="1" applyBorder="1" applyAlignment="1">
      <alignment horizontal="center" vertical="center" wrapText="1"/>
    </xf>
    <xf numFmtId="0" fontId="12" fillId="4" borderId="7" xfId="0" applyFont="1" applyFill="1" applyBorder="1" applyAlignment="1">
      <alignment horizontal="left" vertical="center" wrapText="1"/>
    </xf>
    <xf numFmtId="0" fontId="13" fillId="5" borderId="7" xfId="0" applyFont="1" applyFill="1" applyBorder="1" applyAlignment="1">
      <alignment horizontal="left" vertical="center" wrapText="1"/>
    </xf>
    <xf numFmtId="0" fontId="12" fillId="5" borderId="7" xfId="0" applyFont="1" applyFill="1" applyBorder="1" applyAlignment="1">
      <alignment horizontal="left" vertical="center" wrapText="1"/>
    </xf>
    <xf numFmtId="0" fontId="14" fillId="4" borderId="7" xfId="0" applyFont="1" applyFill="1" applyBorder="1" applyAlignment="1">
      <alignment horizontal="left" vertical="center"/>
    </xf>
    <xf numFmtId="0" fontId="13" fillId="4" borderId="7" xfId="0" applyFont="1" applyFill="1" applyBorder="1" applyAlignment="1">
      <alignment horizontal="left" vertical="center" wrapText="1"/>
    </xf>
    <xf numFmtId="0" fontId="6" fillId="10" borderId="7" xfId="0" applyFont="1" applyFill="1" applyBorder="1" applyAlignment="1">
      <alignment horizontal="center" vertical="center"/>
    </xf>
    <xf numFmtId="0" fontId="6" fillId="12" borderId="7" xfId="0" applyFont="1" applyFill="1" applyBorder="1" applyAlignment="1">
      <alignment horizontal="center" vertical="center"/>
    </xf>
    <xf numFmtId="0" fontId="5" fillId="12" borderId="7" xfId="0" applyFont="1" applyFill="1" applyBorder="1" applyAlignment="1">
      <alignment horizontal="left" vertical="center"/>
    </xf>
    <xf numFmtId="0" fontId="6" fillId="12" borderId="7" xfId="0" applyFont="1" applyFill="1" applyBorder="1" applyAlignment="1">
      <alignment horizontal="left" vertical="center" wrapText="1"/>
    </xf>
    <xf numFmtId="0" fontId="15" fillId="11" borderId="8" xfId="0" applyFont="1" applyFill="1" applyBorder="1" applyAlignment="1">
      <alignment wrapText="1"/>
    </xf>
    <xf numFmtId="0" fontId="16" fillId="3" borderId="7" xfId="0" applyFont="1" applyFill="1" applyBorder="1" applyAlignment="1">
      <alignment horizontal="center" vertical="center"/>
    </xf>
    <xf numFmtId="0" fontId="14" fillId="5" borderId="7" xfId="0" applyFont="1" applyFill="1" applyBorder="1" applyAlignment="1">
      <alignment horizontal="left" vertical="center"/>
    </xf>
    <xf numFmtId="0" fontId="14" fillId="4" borderId="7" xfId="0" applyFont="1" applyFill="1" applyBorder="1" applyAlignment="1">
      <alignment horizontal="left" vertical="center" wrapText="1"/>
    </xf>
    <xf numFmtId="0" fontId="14" fillId="5" borderId="7" xfId="0" applyFont="1" applyFill="1" applyBorder="1" applyAlignment="1">
      <alignment horizontal="left" vertical="center" wrapText="1"/>
    </xf>
    <xf numFmtId="0" fontId="5" fillId="4" borderId="7" xfId="0" applyFont="1" applyFill="1" applyBorder="1" applyAlignment="1">
      <alignment horizontal="left" vertical="center" wrapText="1"/>
    </xf>
    <xf numFmtId="0" fontId="5" fillId="5" borderId="7" xfId="0" applyFont="1" applyFill="1" applyBorder="1" applyAlignment="1">
      <alignment horizontal="left" vertical="center" wrapText="1"/>
    </xf>
    <xf numFmtId="0" fontId="6" fillId="13" borderId="7" xfId="0" applyFont="1" applyFill="1" applyBorder="1" applyAlignment="1">
      <alignment horizontal="center" vertical="center"/>
    </xf>
    <xf numFmtId="10" fontId="6" fillId="5" borderId="8" xfId="0" applyNumberFormat="1" applyFont="1" applyFill="1" applyBorder="1" applyAlignment="1">
      <alignment horizontal="center" vertical="center"/>
    </xf>
    <xf numFmtId="0" fontId="13" fillId="0" borderId="0" xfId="0" applyFont="1" applyAlignment="1">
      <alignment horizontal="left" vertical="center"/>
    </xf>
    <xf numFmtId="14" fontId="6" fillId="0" borderId="0" xfId="0" applyNumberFormat="1" applyFont="1" applyAlignment="1">
      <alignment horizontal="left" vertical="center"/>
    </xf>
    <xf numFmtId="0" fontId="6" fillId="14" borderId="7" xfId="0" applyFont="1" applyFill="1" applyBorder="1" applyAlignment="1">
      <alignment horizontal="center" vertical="center"/>
    </xf>
    <xf numFmtId="0" fontId="11" fillId="10" borderId="7" xfId="1" applyFill="1" applyBorder="1" applyAlignment="1">
      <alignment horizontal="left" vertical="center" wrapText="1"/>
    </xf>
    <xf numFmtId="0" fontId="11" fillId="13" borderId="7" xfId="1" applyFill="1" applyBorder="1" applyAlignment="1">
      <alignment horizontal="left" vertical="center" wrapText="1"/>
    </xf>
    <xf numFmtId="0" fontId="11" fillId="0" borderId="0" xfId="1" applyAlignment="1">
      <alignment wrapText="1"/>
    </xf>
    <xf numFmtId="0" fontId="11" fillId="15" borderId="0" xfId="1" applyFill="1" applyAlignment="1">
      <alignment wrapText="1"/>
    </xf>
    <xf numFmtId="0" fontId="4" fillId="3" borderId="7" xfId="0" applyFont="1" applyFill="1" applyBorder="1" applyAlignment="1">
      <alignment horizontal="center" vertical="center" wrapText="1"/>
    </xf>
    <xf numFmtId="14" fontId="6" fillId="5" borderId="7" xfId="0" applyNumberFormat="1" applyFont="1" applyFill="1" applyBorder="1" applyAlignment="1">
      <alignment horizontal="center" vertical="center"/>
    </xf>
    <xf numFmtId="0" fontId="2" fillId="0" borderId="6" xfId="0" applyFont="1" applyBorder="1"/>
    <xf numFmtId="0" fontId="5" fillId="9" borderId="8"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5" fillId="8" borderId="8" xfId="0" applyFont="1" applyFill="1" applyBorder="1" applyAlignment="1">
      <alignment horizontal="center" vertical="center" wrapText="1"/>
    </xf>
    <xf numFmtId="10" fontId="6" fillId="5" borderId="7" xfId="0" applyNumberFormat="1" applyFont="1" applyFill="1" applyBorder="1" applyAlignment="1">
      <alignment horizontal="center" vertical="center"/>
    </xf>
    <xf numFmtId="0" fontId="13" fillId="5" borderId="7" xfId="0" applyFont="1" applyFill="1" applyBorder="1" applyAlignment="1">
      <alignment horizontal="center" vertical="center" wrapText="1"/>
    </xf>
    <xf numFmtId="0" fontId="16" fillId="3" borderId="8" xfId="0" applyFont="1" applyFill="1" applyBorder="1" applyAlignment="1">
      <alignment horizontal="center" vertical="center" wrapText="1"/>
    </xf>
    <xf numFmtId="0" fontId="16" fillId="16" borderId="8" xfId="0" applyFont="1" applyFill="1" applyBorder="1" applyAlignment="1">
      <alignment horizontal="center" vertical="center" wrapText="1"/>
    </xf>
    <xf numFmtId="0" fontId="17" fillId="0" borderId="0" xfId="0" applyFont="1" applyAlignment="1">
      <alignment vertical="top" wrapText="1"/>
    </xf>
    <xf numFmtId="0" fontId="5" fillId="10" borderId="8" xfId="0" applyFont="1" applyFill="1" applyBorder="1" applyAlignment="1">
      <alignment horizontal="left" vertical="top" wrapText="1"/>
    </xf>
    <xf numFmtId="0" fontId="5" fillId="4" borderId="8" xfId="0" applyFont="1" applyFill="1" applyBorder="1" applyAlignment="1">
      <alignment horizontal="left" vertical="top"/>
    </xf>
    <xf numFmtId="0" fontId="1" fillId="15" borderId="0" xfId="0" applyFont="1" applyFill="1" applyAlignment="1">
      <alignment vertical="top"/>
    </xf>
    <xf numFmtId="0" fontId="13" fillId="5" borderId="4" xfId="0" applyFont="1" applyFill="1" applyBorder="1" applyAlignment="1">
      <alignment horizontal="left" vertical="center"/>
    </xf>
    <xf numFmtId="0" fontId="13" fillId="6" borderId="8" xfId="0" applyFont="1" applyFill="1" applyBorder="1" applyAlignment="1">
      <alignment horizontal="left" vertical="center" wrapText="1"/>
    </xf>
    <xf numFmtId="0" fontId="13" fillId="7" borderId="8" xfId="0" applyFont="1" applyFill="1" applyBorder="1" applyAlignment="1">
      <alignment horizontal="left" vertical="center" wrapText="1"/>
    </xf>
    <xf numFmtId="0" fontId="13" fillId="8" borderId="8" xfId="0" applyFont="1" applyFill="1" applyBorder="1" applyAlignment="1">
      <alignment horizontal="left" vertical="center" wrapText="1"/>
    </xf>
    <xf numFmtId="0" fontId="13" fillId="9" borderId="8" xfId="0" applyFont="1" applyFill="1" applyBorder="1" applyAlignment="1">
      <alignment horizontal="left" vertical="center" wrapText="1"/>
    </xf>
    <xf numFmtId="0" fontId="1" fillId="15" borderId="0" xfId="0" applyFont="1" applyFill="1" applyAlignment="1">
      <alignment wrapText="1"/>
    </xf>
    <xf numFmtId="0" fontId="11" fillId="17" borderId="0" xfId="1" applyFill="1" applyAlignment="1">
      <alignment wrapText="1"/>
    </xf>
    <xf numFmtId="0" fontId="19"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3" borderId="1" xfId="0" applyFont="1" applyFill="1" applyBorder="1" applyAlignment="1">
      <alignment horizontal="center" vertical="center"/>
    </xf>
    <xf numFmtId="0" fontId="4" fillId="2" borderId="4" xfId="0" applyFont="1" applyFill="1" applyBorder="1" applyAlignment="1">
      <alignment horizontal="center" vertical="center"/>
    </xf>
    <xf numFmtId="0" fontId="2" fillId="0" borderId="5" xfId="0" applyFont="1" applyBorder="1"/>
    <xf numFmtId="0" fontId="2" fillId="0" borderId="6" xfId="0" applyFont="1" applyBorder="1"/>
    <xf numFmtId="0" fontId="6" fillId="5" borderId="4" xfId="0" applyFont="1" applyFill="1" applyBorder="1" applyAlignment="1">
      <alignment horizontal="left" vertical="center"/>
    </xf>
    <xf numFmtId="0" fontId="18" fillId="5" borderId="4" xfId="0" applyFont="1" applyFill="1" applyBorder="1" applyAlignment="1">
      <alignment horizontal="left" vertical="center" wrapText="1"/>
    </xf>
    <xf numFmtId="0" fontId="7" fillId="5" borderId="4" xfId="0" applyFont="1" applyFill="1" applyBorder="1" applyAlignment="1">
      <alignment horizontal="left" vertical="center" wrapText="1"/>
    </xf>
    <xf numFmtId="0" fontId="13" fillId="5" borderId="4" xfId="0" applyFont="1" applyFill="1" applyBorder="1" applyAlignment="1">
      <alignment horizontal="left" vertical="center"/>
    </xf>
    <xf numFmtId="0" fontId="18" fillId="5" borderId="4" xfId="0" applyFont="1" applyFill="1" applyBorder="1" applyAlignment="1">
      <alignment horizontal="left" vertical="center"/>
    </xf>
    <xf numFmtId="14" fontId="6" fillId="5" borderId="4" xfId="0" applyNumberFormat="1" applyFont="1" applyFill="1" applyBorder="1" applyAlignment="1">
      <alignment horizontal="left" vertical="center"/>
    </xf>
    <xf numFmtId="0" fontId="2" fillId="0" borderId="6" xfId="0" applyFont="1" applyBorder="1" applyAlignment="1">
      <alignment wrapText="1"/>
    </xf>
    <xf numFmtId="0" fontId="18" fillId="5" borderId="6" xfId="0" applyFont="1" applyFill="1" applyBorder="1" applyAlignment="1">
      <alignment horizontal="left" vertical="center" wrapText="1"/>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18" fillId="4" borderId="4" xfId="0" applyFont="1" applyFill="1" applyBorder="1" applyAlignment="1">
      <alignment horizontal="left" vertical="center"/>
    </xf>
    <xf numFmtId="0" fontId="20" fillId="2" borderId="1" xfId="0" applyFont="1" applyFill="1" applyBorder="1" applyAlignment="1">
      <alignment horizontal="center" vertical="center"/>
    </xf>
    <xf numFmtId="0" fontId="18" fillId="4" borderId="4" xfId="0" applyFont="1" applyFill="1" applyBorder="1" applyAlignment="1">
      <alignment horizontal="left" vertical="center" wrapText="1"/>
    </xf>
    <xf numFmtId="0" fontId="2" fillId="0" borderId="5" xfId="0" applyFont="1" applyBorder="1" applyAlignment="1">
      <alignment wrapText="1"/>
    </xf>
    <xf numFmtId="0" fontId="10" fillId="2" borderId="1" xfId="0" applyFont="1" applyFill="1" applyBorder="1" applyAlignment="1">
      <alignment horizontal="center" vertical="center"/>
    </xf>
  </cellXfs>
  <cellStyles count="2">
    <cellStyle name="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docs.aws.amazon.com/wellarchitected/latest/framework/sec_protect_data_transit_encrypt.html?" TargetMode="External"/><Relationship Id="rId13" Type="http://schemas.openxmlformats.org/officeDocument/2006/relationships/hyperlink" Target="https://d1.awsstatic.com/legal/aws-gdpr/aws-gdpr-dpa-online.pdf" TargetMode="External"/><Relationship Id="rId18" Type="http://schemas.openxmlformats.org/officeDocument/2006/relationships/hyperlink" Target="https://d1.awsstatic.com/whitepapers/compliance/CSA_Consensus_Assessments_Initiative_Questionnaire.pdf" TargetMode="External"/><Relationship Id="rId3" Type="http://schemas.openxmlformats.org/officeDocument/2006/relationships/hyperlink" Target="https://aws.amazon.com/blogs/security/how-aws-is-simplifying-security-at-scale-four-keys-to-faster-innovation-from-aws-reinforce-2025/" TargetMode="External"/><Relationship Id="rId21" Type="http://schemas.openxmlformats.org/officeDocument/2006/relationships/hyperlink" Target="https://aws.amazon.com/compliance/iso-22301-faqs/" TargetMode="External"/><Relationship Id="rId7" Type="http://schemas.openxmlformats.org/officeDocument/2006/relationships/hyperlink" Target="https://docs.aws.amazon.com/whitepapers/latest/navigating-gdpr-compliance/encrypt-data-at-rest.html" TargetMode="External"/><Relationship Id="rId12" Type="http://schemas.openxmlformats.org/officeDocument/2006/relationships/hyperlink" Target="https://docs.aws.amazon.com/whitepapers/latest/navigating-gdpr-compliance/in-detail.html" TargetMode="External"/><Relationship Id="rId17" Type="http://schemas.openxmlformats.org/officeDocument/2006/relationships/hyperlink" Target="https://d1.awsstatic.com/legal/aws-gdpr/AWS_GDPR_DPA.pdf" TargetMode="External"/><Relationship Id="rId25" Type="http://schemas.openxmlformats.org/officeDocument/2006/relationships/hyperlink" Target="https://aws.amazon.com/bedrock/amazon-models/privacy/" TargetMode="External"/><Relationship Id="rId2" Type="http://schemas.openxmlformats.org/officeDocument/2006/relationships/hyperlink" Target="https://aws.amazon.com/compliance/iso-27001-faqs/" TargetMode="External"/><Relationship Id="rId16" Type="http://schemas.openxmlformats.org/officeDocument/2006/relationships/hyperlink" Target="https://aws.amazon.com/compliance/mpa/" TargetMode="External"/><Relationship Id="rId20" Type="http://schemas.openxmlformats.org/officeDocument/2006/relationships/hyperlink" Target="https://aws.amazon.com/trust-center/data-center/our-controls/" TargetMode="External"/><Relationship Id="rId1" Type="http://schemas.openxmlformats.org/officeDocument/2006/relationships/hyperlink" Target="https://aws.amazon.com/compliance/programs/" TargetMode="External"/><Relationship Id="rId6" Type="http://schemas.openxmlformats.org/officeDocument/2006/relationships/hyperlink" Target="https://docs.aws.amazon.com/whitepapers/latest/aws-risk-and-compliance/aws-risk-and-compliance-program.html" TargetMode="External"/><Relationship Id="rId11" Type="http://schemas.openxmlformats.org/officeDocument/2006/relationships/hyperlink" Target="https://docs.aws.amazon.com/whitepapers/latest/navigating-gdpr-compliance/aws-data-processing-addendum-dpa.html" TargetMode="External"/><Relationship Id="rId24" Type="http://schemas.openxmlformats.org/officeDocument/2006/relationships/hyperlink" Target="https://d1.awsstatic.com/whitepapers/compliance/CSA_Consensus_Assessments_Initiative_Questionnaire.pdf" TargetMode="External"/><Relationship Id="rId5" Type="http://schemas.openxmlformats.org/officeDocument/2006/relationships/hyperlink" Target="https://aws.amazon.com/compliance/programs/" TargetMode="External"/><Relationship Id="rId15" Type="http://schemas.openxmlformats.org/officeDocument/2006/relationships/hyperlink" Target="https://docs.aws.amazon.com/IAM/latest/UserGuide/best-practices.html" TargetMode="External"/><Relationship Id="rId23" Type="http://schemas.openxmlformats.org/officeDocument/2006/relationships/hyperlink" Target="https://aws.amazon.com/compliance/soc-faqs/" TargetMode="External"/><Relationship Id="rId10" Type="http://schemas.openxmlformats.org/officeDocument/2006/relationships/hyperlink" Target="https://aws.amazon.com/trust-center/operator-access/" TargetMode="External"/><Relationship Id="rId19" Type="http://schemas.openxmlformats.org/officeDocument/2006/relationships/hyperlink" Target="https://aws.amazon.com/compliance/iso-22301-faqs/" TargetMode="External"/><Relationship Id="rId4" Type="http://schemas.openxmlformats.org/officeDocument/2006/relationships/hyperlink" Target="https://aws.amazon.com/compliance/soc-faqs/" TargetMode="External"/><Relationship Id="rId9" Type="http://schemas.openxmlformats.org/officeDocument/2006/relationships/hyperlink" Target="https://aws.amazon.com/trust-center/vulnerability-management/" TargetMode="External"/><Relationship Id="rId14" Type="http://schemas.openxmlformats.org/officeDocument/2006/relationships/hyperlink" Target="https://docs.aws.amazon.com/IAM/latest/UserGuide/best-practices.html" TargetMode="External"/><Relationship Id="rId22" Type="http://schemas.openxmlformats.org/officeDocument/2006/relationships/hyperlink" Target="https://aws.amazon.com/compliance/iso-27001-faq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000"/>
  <sheetViews>
    <sheetView showGridLines="0" tabSelected="1" workbookViewId="0">
      <selection activeCell="H14" sqref="H14"/>
    </sheetView>
  </sheetViews>
  <sheetFormatPr defaultColWidth="14.42578125" defaultRowHeight="15" customHeight="1" x14ac:dyDescent="0.25"/>
  <cols>
    <col min="1" max="1" width="2" customWidth="1"/>
    <col min="2" max="2" width="32" customWidth="1"/>
    <col min="3" max="3" width="42" customWidth="1"/>
    <col min="4" max="4" width="20" customWidth="1"/>
    <col min="5" max="26" width="8.7109375" customWidth="1"/>
  </cols>
  <sheetData>
    <row r="1" spans="2:4" ht="7.5" customHeight="1" x14ac:dyDescent="0.25"/>
    <row r="2" spans="2:4" ht="93" customHeight="1" x14ac:dyDescent="0.25">
      <c r="B2" s="67" t="s">
        <v>119</v>
      </c>
      <c r="C2" s="68"/>
      <c r="D2" s="69"/>
    </row>
    <row r="3" spans="2:4" ht="31.5" customHeight="1" x14ac:dyDescent="0.25">
      <c r="B3" s="70" t="s">
        <v>42</v>
      </c>
      <c r="C3" s="68"/>
      <c r="D3" s="69"/>
    </row>
    <row r="5" spans="2:4" ht="18" customHeight="1" x14ac:dyDescent="0.25">
      <c r="B5" s="71" t="s">
        <v>0</v>
      </c>
      <c r="C5" s="72"/>
      <c r="D5" s="73"/>
    </row>
    <row r="6" spans="2:4" ht="19.5" customHeight="1" x14ac:dyDescent="0.25">
      <c r="B6" s="1" t="s">
        <v>1</v>
      </c>
      <c r="C6" s="74" t="s">
        <v>43</v>
      </c>
      <c r="D6" s="73"/>
    </row>
    <row r="7" spans="2:4" ht="19.5" customHeight="1" x14ac:dyDescent="0.25">
      <c r="B7" s="1" t="s">
        <v>2</v>
      </c>
      <c r="C7" s="74" t="s">
        <v>44</v>
      </c>
      <c r="D7" s="73"/>
    </row>
    <row r="8" spans="2:4" ht="19.5" customHeight="1" x14ac:dyDescent="0.25">
      <c r="B8" s="1" t="s">
        <v>3</v>
      </c>
      <c r="C8" s="74" t="s">
        <v>45</v>
      </c>
      <c r="D8" s="73"/>
    </row>
    <row r="9" spans="2:4" ht="19.5" customHeight="1" x14ac:dyDescent="0.25">
      <c r="B9" s="1" t="s">
        <v>4</v>
      </c>
      <c r="C9" s="77" t="s">
        <v>72</v>
      </c>
      <c r="D9" s="73"/>
    </row>
    <row r="10" spans="2:4" ht="19.5" customHeight="1" x14ac:dyDescent="0.25">
      <c r="B10" s="1" t="s">
        <v>5</v>
      </c>
      <c r="C10" s="74" t="s">
        <v>6</v>
      </c>
      <c r="D10" s="73"/>
    </row>
    <row r="11" spans="2:4" ht="19.5" customHeight="1" x14ac:dyDescent="0.25">
      <c r="B11" s="1" t="s">
        <v>7</v>
      </c>
      <c r="C11" s="78" t="s">
        <v>120</v>
      </c>
      <c r="D11" s="73"/>
    </row>
    <row r="12" spans="2:4" ht="19.5" customHeight="1" x14ac:dyDescent="0.25">
      <c r="B12" s="1" t="s">
        <v>8</v>
      </c>
      <c r="C12" s="79">
        <v>46244</v>
      </c>
      <c r="D12" s="73"/>
    </row>
    <row r="13" spans="2:4" ht="19.5" customHeight="1" x14ac:dyDescent="0.25">
      <c r="B13" s="1" t="s">
        <v>9</v>
      </c>
      <c r="C13" s="79">
        <v>46256</v>
      </c>
      <c r="D13" s="73"/>
    </row>
    <row r="14" spans="2:4" ht="19.5" customHeight="1" x14ac:dyDescent="0.25">
      <c r="B14" s="1" t="s">
        <v>10</v>
      </c>
      <c r="C14" s="79">
        <v>46613</v>
      </c>
      <c r="D14" s="73"/>
    </row>
    <row r="15" spans="2:4" ht="19.5" customHeight="1" x14ac:dyDescent="0.25">
      <c r="B15" s="1" t="s">
        <v>11</v>
      </c>
      <c r="C15" s="77" t="s">
        <v>121</v>
      </c>
      <c r="D15" s="73"/>
    </row>
    <row r="16" spans="2:4" ht="19.5" customHeight="1" x14ac:dyDescent="0.25">
      <c r="B16" s="1"/>
      <c r="C16" s="60"/>
      <c r="D16" s="47"/>
    </row>
    <row r="17" spans="2:4" ht="27.75" customHeight="1" x14ac:dyDescent="0.25">
      <c r="B17" s="1" t="s">
        <v>12</v>
      </c>
      <c r="C17" s="75" t="s">
        <v>135</v>
      </c>
      <c r="D17" s="80"/>
    </row>
    <row r="18" spans="2:4" ht="78" customHeight="1" x14ac:dyDescent="0.25">
      <c r="B18" s="1" t="s">
        <v>132</v>
      </c>
      <c r="C18" s="75" t="s">
        <v>131</v>
      </c>
      <c r="D18" s="81"/>
    </row>
    <row r="19" spans="2:4" ht="283.5" customHeight="1" x14ac:dyDescent="0.25">
      <c r="B19" s="1" t="s">
        <v>84</v>
      </c>
      <c r="C19" s="76" t="s">
        <v>85</v>
      </c>
      <c r="D19" s="73"/>
    </row>
    <row r="20" spans="2:4" ht="30" customHeight="1" x14ac:dyDescent="0.25">
      <c r="B20" s="23" t="s">
        <v>113</v>
      </c>
      <c r="C20" s="75" t="s">
        <v>114</v>
      </c>
      <c r="D20" s="73"/>
    </row>
    <row r="21" spans="2:4" ht="15.75" customHeight="1" x14ac:dyDescent="0.25"/>
    <row r="22" spans="2:4" ht="15.75" customHeight="1" x14ac:dyDescent="0.25"/>
    <row r="23" spans="2:4" ht="15.75" customHeight="1" x14ac:dyDescent="0.25"/>
    <row r="24" spans="2:4" ht="15.75" customHeight="1" x14ac:dyDescent="0.25"/>
    <row r="25" spans="2:4" ht="15.75" customHeight="1" x14ac:dyDescent="0.25"/>
    <row r="26" spans="2:4" ht="15.75" customHeight="1" x14ac:dyDescent="0.25"/>
    <row r="27" spans="2:4" ht="15.75" customHeight="1" x14ac:dyDescent="0.25"/>
    <row r="28" spans="2:4" ht="15.75" customHeight="1" x14ac:dyDescent="0.25"/>
    <row r="29" spans="2:4" ht="15.75" customHeight="1" x14ac:dyDescent="0.25"/>
    <row r="30" spans="2:4" ht="15.75" customHeight="1" x14ac:dyDescent="0.25"/>
    <row r="31" spans="2:4" ht="15.75" customHeight="1" x14ac:dyDescent="0.25"/>
    <row r="32" spans="2: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7">
    <mergeCell ref="C20:D20"/>
    <mergeCell ref="C19:D19"/>
    <mergeCell ref="C8:D8"/>
    <mergeCell ref="C9:D9"/>
    <mergeCell ref="C10:D10"/>
    <mergeCell ref="C11:D11"/>
    <mergeCell ref="C12:D12"/>
    <mergeCell ref="C13:D13"/>
    <mergeCell ref="C14:D14"/>
    <mergeCell ref="C15:D15"/>
    <mergeCell ref="C17:D17"/>
    <mergeCell ref="C18:D18"/>
    <mergeCell ref="B2:D2"/>
    <mergeCell ref="B3:D3"/>
    <mergeCell ref="B5:D5"/>
    <mergeCell ref="C6:D6"/>
    <mergeCell ref="C7:D7"/>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991"/>
  <sheetViews>
    <sheetView showGridLines="0" workbookViewId="0">
      <selection activeCell="F14" sqref="F13:F14"/>
    </sheetView>
  </sheetViews>
  <sheetFormatPr defaultColWidth="14.42578125" defaultRowHeight="15" customHeight="1" x14ac:dyDescent="0.25"/>
  <cols>
    <col min="1" max="1" width="2" customWidth="1"/>
    <col min="2" max="2" width="33.7109375" customWidth="1"/>
    <col min="3" max="3" width="18" customWidth="1"/>
    <col min="4" max="4" width="40" customWidth="1"/>
    <col min="5" max="5" width="22" customWidth="1"/>
    <col min="6" max="7" width="20" customWidth="1"/>
    <col min="8" max="26" width="8.7109375" customWidth="1"/>
  </cols>
  <sheetData>
    <row r="2" spans="2:7" ht="18" customHeight="1" x14ac:dyDescent="0.25">
      <c r="B2" s="82" t="s">
        <v>13</v>
      </c>
      <c r="C2" s="68"/>
      <c r="D2" s="68"/>
      <c r="E2" s="68"/>
      <c r="F2" s="68"/>
      <c r="G2" s="69"/>
    </row>
    <row r="3" spans="2:7" ht="18" customHeight="1" x14ac:dyDescent="0.25">
      <c r="B3" s="2" t="s">
        <v>14</v>
      </c>
      <c r="C3" s="2" t="s">
        <v>15</v>
      </c>
      <c r="D3" s="2" t="s">
        <v>16</v>
      </c>
      <c r="E3" s="2" t="s">
        <v>17</v>
      </c>
      <c r="F3" s="2" t="s">
        <v>18</v>
      </c>
      <c r="G3" s="2" t="s">
        <v>19</v>
      </c>
    </row>
    <row r="4" spans="2:7" ht="36" customHeight="1" x14ac:dyDescent="0.25">
      <c r="B4" s="3" t="s">
        <v>6</v>
      </c>
      <c r="C4" s="18">
        <v>46246</v>
      </c>
      <c r="D4" s="4" t="s">
        <v>20</v>
      </c>
      <c r="E4" s="24" t="s">
        <v>72</v>
      </c>
      <c r="F4" s="24" t="s">
        <v>115</v>
      </c>
      <c r="G4" s="24" t="s">
        <v>115</v>
      </c>
    </row>
    <row r="5" spans="2:7" ht="37.5" customHeight="1" x14ac:dyDescent="0.25">
      <c r="B5" s="5" t="s">
        <v>186</v>
      </c>
      <c r="C5" s="46">
        <v>46256</v>
      </c>
      <c r="D5" s="9" t="s">
        <v>187</v>
      </c>
      <c r="E5" s="6" t="s">
        <v>72</v>
      </c>
      <c r="F5" s="9" t="s">
        <v>188</v>
      </c>
      <c r="G5" s="6" t="s">
        <v>189</v>
      </c>
    </row>
    <row r="6" spans="2:7" ht="19.5" customHeight="1" x14ac:dyDescent="0.25">
      <c r="B6" s="3"/>
      <c r="C6" s="3"/>
      <c r="D6" s="4"/>
      <c r="E6" s="4"/>
      <c r="F6" s="4"/>
      <c r="G6" s="4"/>
    </row>
    <row r="7" spans="2:7" ht="19.5" customHeight="1" x14ac:dyDescent="0.25">
      <c r="B7" s="5"/>
      <c r="C7" s="5"/>
      <c r="D7" s="6"/>
      <c r="E7" s="6"/>
      <c r="F7" s="6"/>
      <c r="G7" s="6"/>
    </row>
    <row r="8" spans="2:7" ht="19.5" customHeight="1" x14ac:dyDescent="0.25">
      <c r="B8" s="3"/>
      <c r="C8" s="3"/>
      <c r="D8" s="4"/>
      <c r="E8" s="4"/>
      <c r="F8" s="4"/>
      <c r="G8" s="4"/>
    </row>
    <row r="12" spans="2:7" ht="15.75" customHeight="1" x14ac:dyDescent="0.25"/>
    <row r="13" spans="2:7" ht="15.75" customHeight="1" x14ac:dyDescent="0.25"/>
    <row r="14" spans="2:7" ht="15.75" customHeight="1" x14ac:dyDescent="0.25"/>
    <row r="15" spans="2:7" ht="15.75" customHeight="1" x14ac:dyDescent="0.25"/>
    <row r="16" spans="2:7"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sheetData>
  <mergeCells count="1">
    <mergeCell ref="B2:G2"/>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89"/>
  <sheetViews>
    <sheetView showGridLines="0" workbookViewId="0">
      <pane ySplit="3" topLeftCell="A20" activePane="bottomLeft" state="frozen"/>
      <selection pane="bottomLeft" activeCell="J22" sqref="J22"/>
    </sheetView>
  </sheetViews>
  <sheetFormatPr defaultColWidth="14.42578125" defaultRowHeight="15" customHeight="1" x14ac:dyDescent="0.25"/>
  <cols>
    <col min="1" max="1" width="8" customWidth="1"/>
    <col min="2" max="2" width="23.42578125" customWidth="1"/>
    <col min="3" max="4" width="36" customWidth="1"/>
    <col min="5" max="5" width="24" customWidth="1"/>
    <col min="6" max="6" width="22.5703125" customWidth="1"/>
    <col min="7" max="7" width="28" customWidth="1"/>
    <col min="8" max="8" width="20.140625" customWidth="1"/>
    <col min="9" max="26" width="8.7109375" customWidth="1"/>
  </cols>
  <sheetData>
    <row r="1" spans="1:8" ht="21.75" customHeight="1" x14ac:dyDescent="0.25">
      <c r="A1" s="83" t="s">
        <v>86</v>
      </c>
      <c r="B1" s="68"/>
      <c r="C1" s="68"/>
      <c r="D1" s="68"/>
      <c r="E1" s="68"/>
      <c r="F1" s="68"/>
      <c r="G1" s="68"/>
      <c r="H1" s="69"/>
    </row>
    <row r="2" spans="1:8" ht="21.75" customHeight="1" x14ac:dyDescent="0.25">
      <c r="A2" s="2" t="s">
        <v>21</v>
      </c>
      <c r="B2" s="2" t="s">
        <v>22</v>
      </c>
      <c r="C2" s="2" t="s">
        <v>23</v>
      </c>
      <c r="D2" s="2" t="s">
        <v>97</v>
      </c>
      <c r="E2" s="45" t="s">
        <v>98</v>
      </c>
      <c r="F2" s="45" t="s">
        <v>101</v>
      </c>
      <c r="G2" s="30" t="s">
        <v>102</v>
      </c>
      <c r="H2" s="2" t="s">
        <v>87</v>
      </c>
    </row>
    <row r="3" spans="1:8" ht="21.75" customHeight="1" x14ac:dyDescent="0.25">
      <c r="A3" s="84" t="s">
        <v>112</v>
      </c>
      <c r="B3" s="72"/>
      <c r="C3" s="72"/>
      <c r="D3" s="72"/>
      <c r="E3" s="72"/>
      <c r="F3" s="72"/>
      <c r="G3" s="72"/>
      <c r="H3" s="73"/>
    </row>
    <row r="4" spans="1:8" ht="90.75" customHeight="1" x14ac:dyDescent="0.25">
      <c r="A4" s="26">
        <v>1</v>
      </c>
      <c r="B4" s="27" t="s">
        <v>24</v>
      </c>
      <c r="C4" s="28" t="s">
        <v>46</v>
      </c>
      <c r="D4" s="9" t="s">
        <v>47</v>
      </c>
      <c r="E4" s="9" t="s">
        <v>99</v>
      </c>
      <c r="F4" s="19" t="str">
        <f>IF(E4="Partially Verified","Yes",IF(E4="Not Verified","Yes",IF(E4="Control Gap","Yes",IF(E4="","","No"))))</f>
        <v>No</v>
      </c>
      <c r="G4" s="29" t="s">
        <v>177</v>
      </c>
      <c r="H4" s="26">
        <v>3</v>
      </c>
    </row>
    <row r="5" spans="1:8" ht="60.75" customHeight="1" x14ac:dyDescent="0.25">
      <c r="A5" s="5">
        <v>2</v>
      </c>
      <c r="B5" s="7" t="s">
        <v>24</v>
      </c>
      <c r="C5" s="21" t="s">
        <v>48</v>
      </c>
      <c r="D5" s="21" t="s">
        <v>49</v>
      </c>
      <c r="E5" s="9" t="s">
        <v>99</v>
      </c>
      <c r="F5" s="19" t="str">
        <f t="shared" ref="F5:F23" si="0">IF(E5="Partially Verified","Yes",IF(E5="Not Verified","Yes",IF(E5="Control Gap","Yes",IF(E5="","","No"))))</f>
        <v>No</v>
      </c>
      <c r="G5" s="22" t="s">
        <v>136</v>
      </c>
      <c r="H5" s="5">
        <v>3</v>
      </c>
    </row>
    <row r="6" spans="1:8" ht="67.5" customHeight="1" x14ac:dyDescent="0.25">
      <c r="A6" s="3">
        <v>3</v>
      </c>
      <c r="B6" s="23" t="s">
        <v>24</v>
      </c>
      <c r="C6" s="24" t="s">
        <v>50</v>
      </c>
      <c r="D6" s="21" t="s">
        <v>138</v>
      </c>
      <c r="E6" s="9" t="s">
        <v>99</v>
      </c>
      <c r="F6" s="19" t="str">
        <f t="shared" si="0"/>
        <v>No</v>
      </c>
      <c r="G6" s="20" t="s">
        <v>178</v>
      </c>
      <c r="H6" s="3">
        <v>3</v>
      </c>
    </row>
    <row r="7" spans="1:8" ht="70.5" customHeight="1" x14ac:dyDescent="0.25">
      <c r="A7" s="5">
        <v>4</v>
      </c>
      <c r="B7" s="31" t="s">
        <v>24</v>
      </c>
      <c r="C7" s="21" t="s">
        <v>51</v>
      </c>
      <c r="D7" s="21" t="s">
        <v>139</v>
      </c>
      <c r="E7" s="9" t="s">
        <v>99</v>
      </c>
      <c r="F7" s="19" t="str">
        <f t="shared" si="0"/>
        <v>No</v>
      </c>
      <c r="G7" s="22" t="s">
        <v>179</v>
      </c>
      <c r="H7" s="5">
        <v>3</v>
      </c>
    </row>
    <row r="8" spans="1:8" ht="72" customHeight="1" x14ac:dyDescent="0.25">
      <c r="A8" s="3">
        <v>5</v>
      </c>
      <c r="B8" s="23" t="s">
        <v>52</v>
      </c>
      <c r="C8" s="24" t="s">
        <v>53</v>
      </c>
      <c r="D8" s="21" t="s">
        <v>140</v>
      </c>
      <c r="E8" s="9" t="s">
        <v>99</v>
      </c>
      <c r="F8" s="19" t="str">
        <f t="shared" si="0"/>
        <v>No</v>
      </c>
      <c r="G8" s="20" t="s">
        <v>141</v>
      </c>
      <c r="H8" s="3">
        <v>3</v>
      </c>
    </row>
    <row r="9" spans="1:8" ht="75" customHeight="1" x14ac:dyDescent="0.25">
      <c r="A9" s="5">
        <v>6</v>
      </c>
      <c r="B9" s="31" t="s">
        <v>52</v>
      </c>
      <c r="C9" s="21" t="s">
        <v>142</v>
      </c>
      <c r="D9" s="21" t="s">
        <v>143</v>
      </c>
      <c r="E9" s="9" t="s">
        <v>99</v>
      </c>
      <c r="F9" s="19" t="str">
        <f t="shared" si="0"/>
        <v>No</v>
      </c>
      <c r="G9" s="22" t="s">
        <v>144</v>
      </c>
      <c r="H9" s="5">
        <v>3</v>
      </c>
    </row>
    <row r="10" spans="1:8" ht="90.75" customHeight="1" x14ac:dyDescent="0.25">
      <c r="A10" s="3">
        <v>7</v>
      </c>
      <c r="B10" s="23" t="s">
        <v>52</v>
      </c>
      <c r="C10" s="24" t="s">
        <v>70</v>
      </c>
      <c r="D10" s="21" t="s">
        <v>146</v>
      </c>
      <c r="E10" s="9" t="s">
        <v>99</v>
      </c>
      <c r="F10" s="19" t="str">
        <f t="shared" si="0"/>
        <v>No</v>
      </c>
      <c r="G10" s="20" t="s">
        <v>145</v>
      </c>
      <c r="H10" s="3">
        <v>3</v>
      </c>
    </row>
    <row r="11" spans="1:8" ht="90.75" customHeight="1" x14ac:dyDescent="0.25">
      <c r="A11" s="5">
        <v>8</v>
      </c>
      <c r="B11" s="31" t="s">
        <v>52</v>
      </c>
      <c r="C11" s="21" t="s">
        <v>54</v>
      </c>
      <c r="D11" s="21" t="s">
        <v>148</v>
      </c>
      <c r="E11" s="9" t="s">
        <v>99</v>
      </c>
      <c r="F11" s="19" t="str">
        <f t="shared" si="0"/>
        <v>No</v>
      </c>
      <c r="G11" s="22" t="s">
        <v>149</v>
      </c>
      <c r="H11" s="5">
        <v>3</v>
      </c>
    </row>
    <row r="12" spans="1:8" ht="89.25" customHeight="1" x14ac:dyDescent="0.25">
      <c r="A12" s="3">
        <v>9</v>
      </c>
      <c r="B12" s="32" t="s">
        <v>55</v>
      </c>
      <c r="C12" s="24" t="s">
        <v>56</v>
      </c>
      <c r="D12" s="21" t="s">
        <v>151</v>
      </c>
      <c r="E12" s="9" t="s">
        <v>99</v>
      </c>
      <c r="F12" s="19" t="str">
        <f t="shared" si="0"/>
        <v>No</v>
      </c>
      <c r="G12" s="20" t="s">
        <v>152</v>
      </c>
      <c r="H12" s="3">
        <v>3</v>
      </c>
    </row>
    <row r="13" spans="1:8" ht="114.75" customHeight="1" x14ac:dyDescent="0.25">
      <c r="A13" s="5">
        <v>10</v>
      </c>
      <c r="B13" s="33" t="s">
        <v>55</v>
      </c>
      <c r="C13" s="21" t="s">
        <v>57</v>
      </c>
      <c r="D13" s="21" t="s">
        <v>153</v>
      </c>
      <c r="E13" s="9" t="s">
        <v>99</v>
      </c>
      <c r="F13" s="19" t="str">
        <f t="shared" si="0"/>
        <v>No</v>
      </c>
      <c r="G13" s="22" t="s">
        <v>154</v>
      </c>
      <c r="H13" s="5">
        <v>3</v>
      </c>
    </row>
    <row r="14" spans="1:8" ht="87.75" customHeight="1" x14ac:dyDescent="0.25">
      <c r="A14" s="3">
        <v>11</v>
      </c>
      <c r="B14" s="34" t="s">
        <v>55</v>
      </c>
      <c r="C14" s="8" t="s">
        <v>58</v>
      </c>
      <c r="D14" s="9" t="s">
        <v>59</v>
      </c>
      <c r="E14" s="9" t="s">
        <v>99</v>
      </c>
      <c r="F14" s="19" t="str">
        <f t="shared" si="0"/>
        <v>No</v>
      </c>
      <c r="G14" s="20" t="s">
        <v>156</v>
      </c>
      <c r="H14" s="3">
        <v>3</v>
      </c>
    </row>
    <row r="15" spans="1:8" ht="92.25" customHeight="1" x14ac:dyDescent="0.25">
      <c r="A15" s="5">
        <v>12</v>
      </c>
      <c r="B15" s="35" t="s">
        <v>61</v>
      </c>
      <c r="C15" s="9" t="s">
        <v>157</v>
      </c>
      <c r="D15" s="9" t="s">
        <v>158</v>
      </c>
      <c r="E15" s="9" t="s">
        <v>99</v>
      </c>
      <c r="F15" s="19" t="str">
        <f t="shared" si="0"/>
        <v>No</v>
      </c>
      <c r="G15" s="22" t="s">
        <v>159</v>
      </c>
      <c r="H15" s="5">
        <v>3</v>
      </c>
    </row>
    <row r="16" spans="1:8" ht="92.25" customHeight="1" x14ac:dyDescent="0.25">
      <c r="A16" s="3">
        <v>13</v>
      </c>
      <c r="B16" s="34" t="s">
        <v>61</v>
      </c>
      <c r="C16" s="8" t="s">
        <v>161</v>
      </c>
      <c r="D16" s="9" t="s">
        <v>162</v>
      </c>
      <c r="E16" s="9" t="s">
        <v>99</v>
      </c>
      <c r="F16" s="19" t="str">
        <f t="shared" si="0"/>
        <v>No</v>
      </c>
      <c r="G16" s="20" t="s">
        <v>163</v>
      </c>
      <c r="H16" s="3">
        <v>3</v>
      </c>
    </row>
    <row r="17" spans="1:8" ht="91.5" customHeight="1" x14ac:dyDescent="0.25">
      <c r="A17" s="5">
        <v>14</v>
      </c>
      <c r="B17" s="35" t="s">
        <v>62</v>
      </c>
      <c r="C17" s="9" t="s">
        <v>63</v>
      </c>
      <c r="D17" s="9" t="s">
        <v>164</v>
      </c>
      <c r="E17" s="9" t="s">
        <v>99</v>
      </c>
      <c r="F17" s="19" t="str">
        <f t="shared" si="0"/>
        <v>No</v>
      </c>
      <c r="G17" s="22" t="s">
        <v>181</v>
      </c>
      <c r="H17" s="5">
        <v>3</v>
      </c>
    </row>
    <row r="18" spans="1:8" ht="108.75" customHeight="1" x14ac:dyDescent="0.25">
      <c r="A18" s="3">
        <v>15</v>
      </c>
      <c r="B18" s="1" t="s">
        <v>62</v>
      </c>
      <c r="C18" s="8" t="s">
        <v>165</v>
      </c>
      <c r="D18" s="9" t="s">
        <v>166</v>
      </c>
      <c r="E18" s="9" t="s">
        <v>99</v>
      </c>
      <c r="F18" s="19" t="str">
        <f t="shared" si="0"/>
        <v>No</v>
      </c>
      <c r="G18" s="20" t="s">
        <v>167</v>
      </c>
      <c r="H18" s="3">
        <v>3</v>
      </c>
    </row>
    <row r="19" spans="1:8" ht="89.25" customHeight="1" x14ac:dyDescent="0.25">
      <c r="A19" s="5">
        <v>16</v>
      </c>
      <c r="B19" s="7" t="s">
        <v>25</v>
      </c>
      <c r="C19" s="9" t="s">
        <v>65</v>
      </c>
      <c r="D19" s="9" t="s">
        <v>183</v>
      </c>
      <c r="E19" s="9" t="s">
        <v>99</v>
      </c>
      <c r="F19" s="19" t="str">
        <f t="shared" si="0"/>
        <v>No</v>
      </c>
      <c r="G19" s="22" t="s">
        <v>190</v>
      </c>
      <c r="H19" s="5">
        <v>3</v>
      </c>
    </row>
    <row r="20" spans="1:8" ht="155.25" customHeight="1" x14ac:dyDescent="0.25">
      <c r="A20" s="3">
        <v>17</v>
      </c>
      <c r="B20" s="1" t="s">
        <v>25</v>
      </c>
      <c r="C20" s="8" t="s">
        <v>66</v>
      </c>
      <c r="D20" s="9" t="s">
        <v>103</v>
      </c>
      <c r="E20" s="9" t="s">
        <v>100</v>
      </c>
      <c r="F20" s="19" t="str">
        <f t="shared" si="0"/>
        <v>Yes</v>
      </c>
      <c r="G20" s="20" t="s">
        <v>168</v>
      </c>
      <c r="H20" s="3">
        <v>2</v>
      </c>
    </row>
    <row r="21" spans="1:8" ht="139.5" customHeight="1" x14ac:dyDescent="0.25">
      <c r="A21" s="5">
        <v>18</v>
      </c>
      <c r="B21" s="35" t="s">
        <v>67</v>
      </c>
      <c r="C21" s="9" t="s">
        <v>169</v>
      </c>
      <c r="D21" s="9" t="s">
        <v>170</v>
      </c>
      <c r="E21" s="9" t="s">
        <v>99</v>
      </c>
      <c r="F21" s="19" t="str">
        <f t="shared" si="0"/>
        <v>No</v>
      </c>
      <c r="G21" s="22" t="s">
        <v>171</v>
      </c>
      <c r="H21" s="5">
        <v>3</v>
      </c>
    </row>
    <row r="22" spans="1:8" ht="117.75" customHeight="1" x14ac:dyDescent="0.25">
      <c r="A22" s="3">
        <v>19</v>
      </c>
      <c r="B22" s="34" t="s">
        <v>26</v>
      </c>
      <c r="C22" s="8" t="s">
        <v>68</v>
      </c>
      <c r="D22" s="9" t="s">
        <v>172</v>
      </c>
      <c r="E22" s="9" t="s">
        <v>99</v>
      </c>
      <c r="F22" s="19" t="str">
        <f t="shared" si="0"/>
        <v>No</v>
      </c>
      <c r="G22" s="20" t="s">
        <v>191</v>
      </c>
      <c r="H22" s="3">
        <v>3</v>
      </c>
    </row>
    <row r="23" spans="1:8" ht="120" customHeight="1" x14ac:dyDescent="0.25">
      <c r="A23" s="5">
        <v>20</v>
      </c>
      <c r="B23" s="35" t="s">
        <v>69</v>
      </c>
      <c r="C23" s="9" t="s">
        <v>173</v>
      </c>
      <c r="D23" s="9" t="s">
        <v>174</v>
      </c>
      <c r="E23" s="9" t="s">
        <v>99</v>
      </c>
      <c r="F23" s="19" t="str">
        <f t="shared" si="0"/>
        <v>No</v>
      </c>
      <c r="G23" s="22" t="s">
        <v>175</v>
      </c>
      <c r="H23" s="5">
        <v>3</v>
      </c>
    </row>
    <row r="24" spans="1:8" ht="15.75" customHeight="1" x14ac:dyDescent="0.25"/>
    <row r="25" spans="1:8" ht="15.75" customHeight="1" x14ac:dyDescent="0.25"/>
    <row r="26" spans="1:8" ht="15.75" customHeight="1" x14ac:dyDescent="0.25"/>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sheetData>
  <mergeCells count="2">
    <mergeCell ref="A1:H1"/>
    <mergeCell ref="A3:H3"/>
  </mergeCells>
  <dataValidations count="1">
    <dataValidation type="list" allowBlank="1" sqref="E4:E23" xr:uid="{00000000-0002-0000-0200-000000000000}">
      <formula1>"Verified,Partially Verified,Not Verified,Control Gap,N/A"</formula1>
    </dataValidation>
  </dataValidation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1DC4C-E39E-42E3-A102-1073B742B0BC}">
  <dimension ref="A1:B28"/>
  <sheetViews>
    <sheetView topLeftCell="A3" workbookViewId="0">
      <selection activeCell="B28" sqref="B28"/>
    </sheetView>
  </sheetViews>
  <sheetFormatPr defaultRowHeight="15" x14ac:dyDescent="0.25"/>
  <cols>
    <col min="1" max="1" width="25.85546875" customWidth="1"/>
    <col min="2" max="2" width="55.42578125" customWidth="1"/>
  </cols>
  <sheetData>
    <row r="1" spans="1:2" ht="16.5" x14ac:dyDescent="0.25">
      <c r="A1" s="85" t="s">
        <v>127</v>
      </c>
      <c r="B1" s="68"/>
    </row>
    <row r="2" spans="1:2" x14ac:dyDescent="0.25">
      <c r="A2" s="30" t="s">
        <v>129</v>
      </c>
      <c r="B2" s="30" t="s">
        <v>128</v>
      </c>
    </row>
    <row r="3" spans="1:2" ht="28.5" customHeight="1" x14ac:dyDescent="0.25">
      <c r="A3" s="86" t="s">
        <v>118</v>
      </c>
      <c r="B3" s="87"/>
    </row>
    <row r="4" spans="1:2" x14ac:dyDescent="0.25">
      <c r="A4" s="25" t="s">
        <v>71</v>
      </c>
      <c r="B4" s="41" t="s">
        <v>75</v>
      </c>
    </row>
    <row r="5" spans="1:2" x14ac:dyDescent="0.25">
      <c r="A5" s="36" t="str">
        <f>"E-"&amp;TEXT(ROW()-3,"000")&amp;":"</f>
        <v>E-002:</v>
      </c>
      <c r="B5" s="42" t="s">
        <v>180</v>
      </c>
    </row>
    <row r="6" spans="1:2" ht="30" x14ac:dyDescent="0.25">
      <c r="A6" s="40" t="str">
        <f t="shared" ref="A6:A28" si="0">"E-"&amp;TEXT(ROW()-3,"000")&amp;":"</f>
        <v>E-003:</v>
      </c>
      <c r="B6" s="43" t="s">
        <v>137</v>
      </c>
    </row>
    <row r="7" spans="1:2" x14ac:dyDescent="0.25">
      <c r="A7" s="36" t="str">
        <f t="shared" si="0"/>
        <v>E-004:</v>
      </c>
      <c r="B7" s="44" t="s">
        <v>74</v>
      </c>
    </row>
    <row r="8" spans="1:2" x14ac:dyDescent="0.25">
      <c r="A8" s="40" t="str">
        <f t="shared" si="0"/>
        <v>E-005:</v>
      </c>
      <c r="B8" s="43" t="s">
        <v>75</v>
      </c>
    </row>
    <row r="9" spans="1:2" x14ac:dyDescent="0.25">
      <c r="A9" s="36" t="str">
        <f t="shared" si="0"/>
        <v>E-006:</v>
      </c>
      <c r="B9" s="44" t="s">
        <v>76</v>
      </c>
    </row>
    <row r="10" spans="1:2" x14ac:dyDescent="0.25">
      <c r="A10" s="40" t="str">
        <f t="shared" si="0"/>
        <v>E-007:</v>
      </c>
      <c r="B10" s="43" t="s">
        <v>77</v>
      </c>
    </row>
    <row r="11" spans="1:2" ht="29.25" customHeight="1" x14ac:dyDescent="0.25">
      <c r="A11" s="36" t="str">
        <f t="shared" si="0"/>
        <v>E-008:</v>
      </c>
      <c r="B11" s="44" t="s">
        <v>78</v>
      </c>
    </row>
    <row r="12" spans="1:2" x14ac:dyDescent="0.25">
      <c r="A12" s="40" t="str">
        <f t="shared" si="0"/>
        <v>E-009:</v>
      </c>
      <c r="B12" s="43" t="s">
        <v>147</v>
      </c>
    </row>
    <row r="13" spans="1:2" x14ac:dyDescent="0.25">
      <c r="A13" s="36" t="str">
        <f t="shared" si="0"/>
        <v>E-010:</v>
      </c>
      <c r="B13" s="44" t="s">
        <v>150</v>
      </c>
    </row>
    <row r="14" spans="1:2" x14ac:dyDescent="0.25">
      <c r="A14" s="40" t="str">
        <f t="shared" si="0"/>
        <v>E-011:</v>
      </c>
      <c r="B14" s="66" t="s">
        <v>79</v>
      </c>
    </row>
    <row r="15" spans="1:2" x14ac:dyDescent="0.25">
      <c r="A15" s="36" t="str">
        <f t="shared" si="0"/>
        <v>E-012:</v>
      </c>
      <c r="B15" s="44" t="s">
        <v>155</v>
      </c>
    </row>
    <row r="16" spans="1:2" ht="30" x14ac:dyDescent="0.25">
      <c r="A16" s="40" t="str">
        <f t="shared" si="0"/>
        <v>E-013:</v>
      </c>
      <c r="B16" s="66" t="s">
        <v>60</v>
      </c>
    </row>
    <row r="17" spans="1:2" x14ac:dyDescent="0.25">
      <c r="A17" s="36" t="str">
        <f t="shared" si="0"/>
        <v>E-014:</v>
      </c>
      <c r="B17" s="44" t="s">
        <v>160</v>
      </c>
    </row>
    <row r="18" spans="1:2" x14ac:dyDescent="0.25">
      <c r="A18" s="40" t="str">
        <f t="shared" si="0"/>
        <v>E-015:</v>
      </c>
      <c r="B18" s="66" t="s">
        <v>160</v>
      </c>
    </row>
    <row r="19" spans="1:2" x14ac:dyDescent="0.25">
      <c r="A19" s="36" t="str">
        <f t="shared" si="0"/>
        <v>E-016:</v>
      </c>
      <c r="B19" s="44" t="s">
        <v>182</v>
      </c>
    </row>
    <row r="20" spans="1:2" ht="30" x14ac:dyDescent="0.25">
      <c r="A20" s="40" t="str">
        <f t="shared" si="0"/>
        <v>E-017:</v>
      </c>
      <c r="B20" s="66" t="s">
        <v>64</v>
      </c>
    </row>
    <row r="21" spans="1:2" ht="30" x14ac:dyDescent="0.25">
      <c r="A21" s="36" t="str">
        <f t="shared" si="0"/>
        <v>E-018:</v>
      </c>
      <c r="B21" s="44" t="s">
        <v>176</v>
      </c>
    </row>
    <row r="22" spans="1:2" x14ac:dyDescent="0.25">
      <c r="A22" s="40" t="str">
        <f t="shared" si="0"/>
        <v>E-019:</v>
      </c>
      <c r="B22" s="66" t="s">
        <v>80</v>
      </c>
    </row>
    <row r="23" spans="1:2" x14ac:dyDescent="0.25">
      <c r="A23" s="36" t="str">
        <f t="shared" si="0"/>
        <v>E-020:</v>
      </c>
      <c r="B23" s="44" t="s">
        <v>73</v>
      </c>
    </row>
    <row r="24" spans="1:2" x14ac:dyDescent="0.25">
      <c r="A24" s="40" t="str">
        <f t="shared" si="0"/>
        <v>E-021:</v>
      </c>
      <c r="B24" s="66" t="s">
        <v>80</v>
      </c>
    </row>
    <row r="25" spans="1:2" x14ac:dyDescent="0.25">
      <c r="A25" s="36" t="str">
        <f t="shared" si="0"/>
        <v>E-022:</v>
      </c>
      <c r="B25" s="44" t="s">
        <v>82</v>
      </c>
    </row>
    <row r="26" spans="1:2" x14ac:dyDescent="0.25">
      <c r="A26" s="40" t="str">
        <f t="shared" si="0"/>
        <v>E-023:</v>
      </c>
      <c r="B26" s="66" t="s">
        <v>81</v>
      </c>
    </row>
    <row r="27" spans="1:2" ht="30" x14ac:dyDescent="0.25">
      <c r="A27" s="36" t="str">
        <f t="shared" si="0"/>
        <v>E-024:</v>
      </c>
      <c r="B27" s="44" t="s">
        <v>184</v>
      </c>
    </row>
    <row r="28" spans="1:2" x14ac:dyDescent="0.25">
      <c r="A28" s="40" t="str">
        <f t="shared" si="0"/>
        <v>E-025:</v>
      </c>
      <c r="B28" s="66" t="s">
        <v>185</v>
      </c>
    </row>
  </sheetData>
  <mergeCells count="2">
    <mergeCell ref="A1:B1"/>
    <mergeCell ref="A3:B3"/>
  </mergeCells>
  <hyperlinks>
    <hyperlink ref="B4" r:id="rId1" xr:uid="{6172C1CB-2C36-4BDF-BD9C-08599146062D}"/>
    <hyperlink ref="B5" r:id="rId2" xr:uid="{69FA521A-6DCD-463D-AB9F-20D27C9D8B13}"/>
    <hyperlink ref="B6" r:id="rId3" xr:uid="{4910C2C1-1A59-4E67-8D0A-D37CFFE4C5B7}"/>
    <hyperlink ref="B7" r:id="rId4" xr:uid="{D837919D-2A35-4F05-BA4F-951504E31E4E}"/>
    <hyperlink ref="B8" r:id="rId5" xr:uid="{C226B5DD-3877-445C-AD0B-BF6660E72699}"/>
    <hyperlink ref="B9" r:id="rId6" xr:uid="{8AB6C4E8-79AF-46C4-A182-A0BC8480A6D8}"/>
    <hyperlink ref="B10" r:id="rId7" xr:uid="{7B1F9F73-CFDF-41AA-A593-0487843429C9}"/>
    <hyperlink ref="B11" r:id="rId8" xr:uid="{1DB0B934-CF77-4466-94DE-F5D7B3AA9E2E}"/>
    <hyperlink ref="B12" r:id="rId9" xr:uid="{DF5CFF47-CC87-4935-AA06-60F138D2B2CC}"/>
    <hyperlink ref="B13" r:id="rId10" xr:uid="{DD05441B-0C4F-46BB-BD8F-F8029770C8D1}"/>
    <hyperlink ref="B14" r:id="rId11" xr:uid="{417FE585-6745-40B0-B853-A75A828C7EBE}"/>
    <hyperlink ref="B15" r:id="rId12" xr:uid="{4F73AEE4-C3A9-4042-A285-D3EF974A3817}"/>
    <hyperlink ref="B16" r:id="rId13" xr:uid="{9EE1FDC3-BB87-4331-B9AB-4F054A07ACA8}"/>
    <hyperlink ref="B17" r:id="rId14" xr:uid="{812864E9-AE62-404D-8339-3509FCACE658}"/>
    <hyperlink ref="B18" r:id="rId15" xr:uid="{0F01D8A8-6874-4716-9E2F-9A5B2B0B04CC}"/>
    <hyperlink ref="B19" r:id="rId16" xr:uid="{0B48B5ED-BBBD-433F-8C45-E8C30B5675A2}"/>
    <hyperlink ref="B20" r:id="rId17" xr:uid="{F985204D-3072-41CD-92C8-30134F59AB8A}"/>
    <hyperlink ref="B21" r:id="rId18" xr:uid="{8C696672-5E64-428C-AAC1-E8E96F365E8F}"/>
    <hyperlink ref="B22" r:id="rId19" xr:uid="{40013720-8679-4F57-BD24-C2D8F2E24493}"/>
    <hyperlink ref="B23" r:id="rId20" xr:uid="{9DEB5D73-B1C3-4C19-8849-4D897CAD3023}"/>
    <hyperlink ref="B24" r:id="rId21" xr:uid="{FC9107B3-5688-455C-996E-F04FB35FF557}"/>
    <hyperlink ref="B25" r:id="rId22" xr:uid="{0DF03F57-E2C8-4F20-B92F-B66C75F01223}"/>
    <hyperlink ref="B26" r:id="rId23" xr:uid="{4823D58C-0B88-4644-9495-1DD7EF04D325}"/>
    <hyperlink ref="B27" r:id="rId24" xr:uid="{D15F426C-E5E3-4381-A2BA-6E87C14CCE80}"/>
    <hyperlink ref="B28" r:id="rId25" xr:uid="{916FF1D5-8A88-4987-ACD0-E32400FB129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2"/>
  <sheetViews>
    <sheetView showGridLines="0" workbookViewId="0">
      <selection activeCell="H16" sqref="H16"/>
    </sheetView>
  </sheetViews>
  <sheetFormatPr defaultColWidth="14.42578125" defaultRowHeight="15" customHeight="1" x14ac:dyDescent="0.25"/>
  <cols>
    <col min="1" max="1" width="36.5703125" customWidth="1"/>
    <col min="2" max="2" width="41.140625" customWidth="1"/>
    <col min="3" max="3" width="30" customWidth="1"/>
    <col min="4" max="26" width="8.7109375" customWidth="1"/>
  </cols>
  <sheetData>
    <row r="1" spans="1:3" ht="30" customHeight="1" x14ac:dyDescent="0.25">
      <c r="A1" s="88" t="s">
        <v>88</v>
      </c>
      <c r="B1" s="68"/>
      <c r="C1" s="69"/>
    </row>
    <row r="3" spans="1:3" x14ac:dyDescent="0.25">
      <c r="A3" s="10" t="s">
        <v>27</v>
      </c>
      <c r="B3" s="38" t="s">
        <v>83</v>
      </c>
    </row>
    <row r="4" spans="1:3" x14ac:dyDescent="0.25">
      <c r="A4" s="10" t="s">
        <v>28</v>
      </c>
      <c r="B4" s="39">
        <v>46248</v>
      </c>
    </row>
    <row r="5" spans="1:3" x14ac:dyDescent="0.25">
      <c r="A5" s="10" t="s">
        <v>29</v>
      </c>
      <c r="B5" s="38" t="s">
        <v>72</v>
      </c>
    </row>
    <row r="6" spans="1:3" x14ac:dyDescent="0.25">
      <c r="A6" s="10" t="s">
        <v>10</v>
      </c>
      <c r="B6" s="39">
        <v>46613</v>
      </c>
    </row>
    <row r="8" spans="1:3" x14ac:dyDescent="0.25">
      <c r="A8" s="10" t="s">
        <v>30</v>
      </c>
      <c r="B8" s="11" cm="1">
        <f t="array" ref="B8">SUMPRODUCT((Questionnaire!E4:E23&lt;&gt;"")*(Questionnaire!E4:E23&lt;&gt;"N/A")*3)</f>
        <v>60</v>
      </c>
    </row>
    <row r="9" spans="1:3" x14ac:dyDescent="0.25">
      <c r="A9" s="10" t="s">
        <v>31</v>
      </c>
      <c r="B9" s="11" cm="1">
        <f t="array" ref="B9">SUMPRODUCT((Questionnaire!E4:E23&lt;&gt;"")*(Questionnaire!E4:E23&lt;&gt;"N/A")*Questionnaire!H4:H23)</f>
        <v>59</v>
      </c>
    </row>
    <row r="10" spans="1:3" x14ac:dyDescent="0.25">
      <c r="A10" s="10" t="s">
        <v>32</v>
      </c>
      <c r="B10" s="37">
        <f>IF(B8=0,0,B9/B8)</f>
        <v>0.98333333333333328</v>
      </c>
    </row>
    <row r="11" spans="1:3" x14ac:dyDescent="0.25">
      <c r="A11" s="10" t="s">
        <v>89</v>
      </c>
      <c r="B11" s="12" t="str">
        <f>IF(B10&gt;=90%,"Strong Assurance",IF(B10&gt;=75%,"Moderate Assurance",IF(B10&gt;=60%,"Limited Assurance","Insufficient Assurance")))</f>
        <v>Strong Assurance</v>
      </c>
    </row>
    <row r="13" spans="1:3" x14ac:dyDescent="0.25">
      <c r="A13" s="13" t="s">
        <v>33</v>
      </c>
      <c r="B13" s="13" t="s">
        <v>90</v>
      </c>
      <c r="C13" s="13" t="s">
        <v>34</v>
      </c>
    </row>
    <row r="14" spans="1:3" ht="25.5" x14ac:dyDescent="0.25">
      <c r="A14" s="14" t="s">
        <v>35</v>
      </c>
      <c r="B14" s="49" t="s">
        <v>91</v>
      </c>
      <c r="C14" s="61" t="s">
        <v>133</v>
      </c>
    </row>
    <row r="15" spans="1:3" ht="25.5" x14ac:dyDescent="0.25">
      <c r="A15" s="15" t="s">
        <v>36</v>
      </c>
      <c r="B15" s="50" t="s">
        <v>92</v>
      </c>
      <c r="C15" s="62" t="s">
        <v>122</v>
      </c>
    </row>
    <row r="16" spans="1:3" ht="25.5" x14ac:dyDescent="0.25">
      <c r="A16" s="16" t="s">
        <v>95</v>
      </c>
      <c r="B16" s="51" t="s">
        <v>93</v>
      </c>
      <c r="C16" s="63" t="s">
        <v>123</v>
      </c>
    </row>
    <row r="17" spans="1:3" ht="38.25" x14ac:dyDescent="0.25">
      <c r="A17" s="17" t="s">
        <v>96</v>
      </c>
      <c r="B17" s="48" t="s">
        <v>94</v>
      </c>
      <c r="C17" s="64" t="s">
        <v>124</v>
      </c>
    </row>
    <row r="19" spans="1:3" ht="33.75" customHeight="1" x14ac:dyDescent="0.25">
      <c r="A19" s="54" t="s">
        <v>105</v>
      </c>
    </row>
    <row r="20" spans="1:3" ht="13.5" customHeight="1" x14ac:dyDescent="0.25">
      <c r="A20" s="55"/>
    </row>
    <row r="21" spans="1:3" ht="27.75" customHeight="1" x14ac:dyDescent="0.25">
      <c r="A21" s="58">
        <v>3</v>
      </c>
      <c r="B21" s="57" t="s">
        <v>106</v>
      </c>
    </row>
    <row r="22" spans="1:3" ht="32.25" customHeight="1" x14ac:dyDescent="0.25">
      <c r="A22" s="58">
        <v>2</v>
      </c>
      <c r="B22" s="56" t="s">
        <v>107</v>
      </c>
    </row>
    <row r="23" spans="1:3" ht="30" customHeight="1" x14ac:dyDescent="0.25">
      <c r="A23" s="58">
        <v>1</v>
      </c>
      <c r="B23" s="56" t="s">
        <v>108</v>
      </c>
    </row>
    <row r="24" spans="1:3" ht="31.5" customHeight="1" x14ac:dyDescent="0.25">
      <c r="A24" s="58">
        <v>0</v>
      </c>
      <c r="B24" s="56" t="s">
        <v>109</v>
      </c>
    </row>
    <row r="25" spans="1:3" ht="33.75" customHeight="1" x14ac:dyDescent="0.25">
      <c r="A25" s="59" t="s">
        <v>110</v>
      </c>
      <c r="B25" s="56" t="s">
        <v>111</v>
      </c>
    </row>
    <row r="26" spans="1:3" ht="15.75" customHeight="1" x14ac:dyDescent="0.25"/>
    <row r="27" spans="1:3" ht="34.5" customHeight="1" x14ac:dyDescent="0.25">
      <c r="A27" s="54" t="s">
        <v>125</v>
      </c>
    </row>
    <row r="28" spans="1:3" ht="34.5" customHeight="1" x14ac:dyDescent="0.25">
      <c r="A28" s="55"/>
    </row>
    <row r="29" spans="1:3" ht="68.25" customHeight="1" x14ac:dyDescent="0.25">
      <c r="A29" s="65" t="s">
        <v>126</v>
      </c>
    </row>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mergeCells count="1">
    <mergeCell ref="A1:C1"/>
  </mergeCell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98"/>
  <sheetViews>
    <sheetView showGridLines="0" workbookViewId="0">
      <selection activeCell="F9" sqref="F9"/>
    </sheetView>
  </sheetViews>
  <sheetFormatPr defaultColWidth="14.42578125" defaultRowHeight="15" customHeight="1" x14ac:dyDescent="0.25"/>
  <cols>
    <col min="1" max="1" width="6" customWidth="1"/>
    <col min="2" max="2" width="22" customWidth="1"/>
    <col min="3" max="3" width="18" customWidth="1"/>
    <col min="4" max="4" width="16" customWidth="1"/>
    <col min="5" max="5" width="29.5703125" customWidth="1"/>
    <col min="6" max="6" width="19.85546875" customWidth="1"/>
    <col min="7" max="7" width="18" customWidth="1"/>
    <col min="8" max="8" width="31.42578125" customWidth="1"/>
    <col min="9" max="24" width="8.7109375" customWidth="1"/>
  </cols>
  <sheetData>
    <row r="1" spans="1:8" ht="16.5" x14ac:dyDescent="0.25">
      <c r="A1" s="83" t="s">
        <v>134</v>
      </c>
      <c r="B1" s="68"/>
      <c r="C1" s="68"/>
      <c r="D1" s="68"/>
      <c r="E1" s="68"/>
      <c r="F1" s="68"/>
      <c r="G1" s="68"/>
      <c r="H1" s="69"/>
    </row>
    <row r="2" spans="1:8" ht="30" x14ac:dyDescent="0.25">
      <c r="A2" s="2" t="s">
        <v>21</v>
      </c>
      <c r="B2" s="2" t="s">
        <v>37</v>
      </c>
      <c r="C2" s="2" t="s">
        <v>38</v>
      </c>
      <c r="D2" s="45" t="s">
        <v>39</v>
      </c>
      <c r="E2" s="30" t="s">
        <v>117</v>
      </c>
      <c r="F2" s="2" t="s">
        <v>104</v>
      </c>
      <c r="G2" s="2" t="s">
        <v>40</v>
      </c>
      <c r="H2" s="30" t="s">
        <v>116</v>
      </c>
    </row>
    <row r="3" spans="1:8" ht="51" x14ac:dyDescent="0.25">
      <c r="A3" s="6">
        <v>1</v>
      </c>
      <c r="B3" s="9" t="str">
        <f>Scoring!B3</f>
        <v>Amazon Web Services (AWS)</v>
      </c>
      <c r="C3" s="5" t="s">
        <v>41</v>
      </c>
      <c r="D3" s="46">
        <f>Scoring!B4</f>
        <v>46248</v>
      </c>
      <c r="E3" s="52">
        <f>Scoring!B10</f>
        <v>0.98333333333333328</v>
      </c>
      <c r="F3" s="5" t="str">
        <f>Scoring!B11</f>
        <v>Strong Assurance</v>
      </c>
      <c r="G3" s="46">
        <f>Scoring!B6</f>
        <v>46613</v>
      </c>
      <c r="H3" s="53" t="s">
        <v>130</v>
      </c>
    </row>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1">
    <mergeCell ref="A1:H1"/>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6</vt:i4>
      </vt:variant>
    </vt:vector>
  </HeadingPairs>
  <TitlesOfParts>
    <vt:vector size="6" baseType="lpstr">
      <vt:lpstr>Overview</vt:lpstr>
      <vt:lpstr>Version History</vt:lpstr>
      <vt:lpstr>Questionnaire</vt:lpstr>
      <vt:lpstr>Evidence Register</vt:lpstr>
      <vt:lpstr>Scoring</vt:lpstr>
      <vt:lpstr>Vendor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Christian Vinther</cp:lastModifiedBy>
  <dcterms:modified xsi:type="dcterms:W3CDTF">2026-08-22T10:02:24Z</dcterms:modified>
</cp:coreProperties>
</file>